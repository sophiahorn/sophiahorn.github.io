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erver\RDM\wp.local\musik\"/>
    </mc:Choice>
  </mc:AlternateContent>
  <xr:revisionPtr revIDLastSave="0" documentId="13_ncr:1_{BB16B03A-3F37-4ADB-AA03-68486BC6E2E7}" xr6:coauthVersionLast="45" xr6:coauthVersionMax="45" xr10:uidLastSave="{00000000-0000-0000-0000-000000000000}"/>
  <bookViews>
    <workbookView xWindow="-120" yWindow="-120" windowWidth="29040" windowHeight="16440" activeTab="2" xr2:uid="{76A0EF32-6401-4612-8006-907DF0823B2E}"/>
  </bookViews>
  <sheets>
    <sheet name="IMDB Liste" sheetId="2" r:id="rId1"/>
    <sheet name="Sheet5" sheetId="5" r:id="rId2"/>
    <sheet name="Sheet4" sheetId="4" r:id="rId3"/>
    <sheet name="Sheet1" sheetId="6" r:id="rId4"/>
  </sheets>
  <functionGroups builtInGroupCount="19"/>
  <definedNames>
    <definedName name="_xlnm._FilterDatabase" localSheetId="0" hidden="1">'IMDB Liste'!$B$1:$H$189</definedName>
    <definedName name="_xlnm._FilterDatabase" localSheetId="2" hidden="1">Sheet4!$C$1:$C$53</definedName>
    <definedName name="_xlnm._FilterDatabase" localSheetId="1" hidden="1">Sheet5!$A$1:$B$303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2" i="4"/>
  <c r="H3" i="6"/>
  <c r="H4" i="6"/>
  <c r="H5" i="6"/>
  <c r="H6" i="6"/>
  <c r="H7" i="6"/>
  <c r="H8" i="6"/>
  <c r="H9" i="6"/>
  <c r="H10" i="6"/>
  <c r="H11" i="6"/>
  <c r="H13" i="6"/>
  <c r="H14" i="6"/>
  <c r="H15" i="6"/>
  <c r="H16" i="6"/>
  <c r="H17" i="6"/>
  <c r="H18" i="6"/>
  <c r="H19" i="6"/>
  <c r="H20" i="6"/>
  <c r="H21" i="6"/>
  <c r="H22" i="6"/>
  <c r="H24" i="6"/>
  <c r="H25" i="6"/>
  <c r="H26" i="6"/>
  <c r="H27" i="6"/>
  <c r="H28" i="6"/>
  <c r="H29" i="6"/>
  <c r="H30" i="6"/>
  <c r="H31" i="6"/>
  <c r="H32" i="6"/>
  <c r="H33" i="6"/>
  <c r="H35" i="6"/>
  <c r="H36" i="6"/>
  <c r="H37" i="6"/>
  <c r="H38" i="6"/>
  <c r="H39" i="6"/>
  <c r="H40" i="6"/>
  <c r="H41" i="6"/>
  <c r="H42" i="6"/>
  <c r="H43" i="6"/>
  <c r="H44" i="6"/>
  <c r="H46" i="6"/>
  <c r="H47" i="6"/>
  <c r="H48" i="6"/>
  <c r="H49" i="6"/>
  <c r="H50" i="6"/>
  <c r="H51" i="6"/>
  <c r="H52" i="6"/>
  <c r="H53" i="6"/>
  <c r="H54" i="6"/>
  <c r="H55" i="6"/>
  <c r="H57" i="6"/>
  <c r="H58" i="6"/>
  <c r="H59" i="6"/>
  <c r="H60" i="6"/>
  <c r="H61" i="6"/>
  <c r="H62" i="6"/>
  <c r="H63" i="6"/>
  <c r="H64" i="6"/>
  <c r="H65" i="6"/>
  <c r="H66" i="6"/>
  <c r="H68" i="6"/>
  <c r="H69" i="6"/>
  <c r="H70" i="6"/>
  <c r="H71" i="6"/>
  <c r="H72" i="6"/>
  <c r="H73" i="6"/>
  <c r="H74" i="6"/>
  <c r="H75" i="6"/>
  <c r="H76" i="6"/>
  <c r="H77" i="6"/>
  <c r="H79" i="6"/>
  <c r="H80" i="6"/>
  <c r="H81" i="6"/>
  <c r="H82" i="6"/>
  <c r="H83" i="6"/>
  <c r="H84" i="6"/>
  <c r="H85" i="6"/>
  <c r="H86" i="6"/>
  <c r="H87" i="6"/>
  <c r="H88" i="6"/>
  <c r="H90" i="6"/>
  <c r="H91" i="6"/>
  <c r="H92" i="6"/>
  <c r="H93" i="6"/>
  <c r="H94" i="6"/>
  <c r="H95" i="6"/>
  <c r="H96" i="6"/>
  <c r="H97" i="6"/>
  <c r="H98" i="6"/>
  <c r="H99" i="6"/>
  <c r="H100" i="6"/>
  <c r="H2" i="6"/>
  <c r="I66" i="2" l="1"/>
  <c r="I67" i="2"/>
  <c r="I68" i="2"/>
  <c r="I71" i="2"/>
  <c r="I72" i="2"/>
  <c r="I74" i="2"/>
  <c r="I75" i="2"/>
  <c r="I76" i="2"/>
  <c r="I79" i="2"/>
  <c r="I80" i="2"/>
  <c r="I82" i="2"/>
  <c r="I83" i="2"/>
  <c r="I84" i="2"/>
  <c r="I87" i="2"/>
  <c r="I88" i="2"/>
  <c r="I90" i="2"/>
  <c r="I91" i="2"/>
  <c r="I92" i="2"/>
  <c r="I95" i="2"/>
  <c r="I96" i="2"/>
  <c r="I98" i="2"/>
  <c r="I99" i="2"/>
  <c r="I100" i="2"/>
  <c r="I103" i="2"/>
  <c r="I104" i="2"/>
  <c r="I106" i="2"/>
  <c r="I107" i="2"/>
  <c r="I108" i="2"/>
  <c r="I111" i="2"/>
  <c r="I112" i="2"/>
  <c r="I114" i="2"/>
  <c r="I115" i="2"/>
  <c r="I116" i="2"/>
  <c r="I119" i="2"/>
  <c r="I120" i="2"/>
  <c r="I122" i="2"/>
  <c r="I123" i="2"/>
  <c r="I124" i="2"/>
  <c r="I127" i="2"/>
  <c r="I128" i="2"/>
  <c r="I130" i="2"/>
  <c r="I131" i="2"/>
  <c r="I132" i="2"/>
  <c r="I135" i="2"/>
  <c r="I136" i="2"/>
  <c r="I138" i="2"/>
  <c r="I139" i="2"/>
  <c r="I140" i="2"/>
  <c r="I143" i="2"/>
  <c r="I144" i="2"/>
  <c r="I146" i="2"/>
  <c r="I147" i="2"/>
  <c r="I148" i="2"/>
  <c r="I151" i="2"/>
  <c r="I152" i="2"/>
  <c r="I154" i="2"/>
  <c r="I155" i="2"/>
  <c r="I156" i="2"/>
  <c r="I159" i="2"/>
  <c r="I160" i="2"/>
  <c r="I162" i="2"/>
  <c r="I163" i="2"/>
  <c r="I164" i="2"/>
  <c r="I167" i="2"/>
  <c r="I168" i="2"/>
  <c r="I170" i="2"/>
  <c r="I171" i="2"/>
  <c r="I172" i="2"/>
  <c r="I175" i="2"/>
  <c r="I176" i="2"/>
  <c r="I178" i="2"/>
  <c r="I179" i="2"/>
  <c r="I180" i="2"/>
  <c r="I183" i="2"/>
  <c r="I184" i="2"/>
  <c r="I186" i="2"/>
  <c r="I187" i="2"/>
  <c r="I188" i="2"/>
  <c r="I189" i="2"/>
  <c r="I5" i="2"/>
  <c r="I4" i="2"/>
  <c r="I3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9" i="2"/>
  <c r="I70" i="2"/>
  <c r="I73" i="2"/>
  <c r="I77" i="2"/>
  <c r="I78" i="2"/>
  <c r="I81" i="2"/>
  <c r="I85" i="2"/>
  <c r="I86" i="2"/>
  <c r="I89" i="2"/>
  <c r="I93" i="2"/>
  <c r="I94" i="2"/>
  <c r="I97" i="2"/>
  <c r="I101" i="2"/>
  <c r="I102" i="2"/>
  <c r="I105" i="2"/>
  <c r="I109" i="2"/>
  <c r="I110" i="2"/>
  <c r="I113" i="2"/>
  <c r="I117" i="2"/>
  <c r="I118" i="2"/>
  <c r="I121" i="2"/>
  <c r="I125" i="2"/>
  <c r="I126" i="2"/>
  <c r="I129" i="2"/>
  <c r="I133" i="2"/>
  <c r="I134" i="2"/>
  <c r="I137" i="2"/>
  <c r="I141" i="2"/>
  <c r="I142" i="2"/>
  <c r="I145" i="2"/>
  <c r="I149" i="2"/>
  <c r="I150" i="2"/>
  <c r="I153" i="2"/>
  <c r="I157" i="2"/>
  <c r="I158" i="2"/>
  <c r="I161" i="2"/>
  <c r="I165" i="2"/>
  <c r="I166" i="2"/>
  <c r="I169" i="2"/>
  <c r="I173" i="2"/>
  <c r="I174" i="2"/>
  <c r="I177" i="2"/>
  <c r="I181" i="2"/>
  <c r="I182" i="2"/>
  <c r="I185" i="2"/>
  <c r="I2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4" i="2"/>
</calcChain>
</file>

<file path=xl/sharedStrings.xml><?xml version="1.0" encoding="utf-8"?>
<sst xmlns="http://schemas.openxmlformats.org/spreadsheetml/2006/main" count="2597" uniqueCount="1263">
  <si>
    <t>Komponent</t>
  </si>
  <si>
    <t>Filmmusik</t>
  </si>
  <si>
    <t>Typ</t>
  </si>
  <si>
    <t>Rolle</t>
  </si>
  <si>
    <t>Jahr</t>
  </si>
  <si>
    <t>Name</t>
  </si>
  <si>
    <t/>
  </si>
  <si>
    <t>https://www.imdb.com/title/tt3281548/?ref_=nm_flmg_com_3</t>
  </si>
  <si>
    <t>https://www.imdb.com/title/tt7493370/?ref_=nm_flmg_com_4</t>
  </si>
  <si>
    <t>https://www.imdb.com/title/tt2398149/?ref_=nm_flmg_com_5</t>
  </si>
  <si>
    <t>https://www.imdb.com/title/tt5113040/?ref_=nm_flmg_com_6</t>
  </si>
  <si>
    <t>https://www.imdb.com/title/tt9409328/?ref_=nm_flmg_com_7</t>
  </si>
  <si>
    <t>https://www.imdb.com/title/tt4951982/?ref_=nm_flmg_com_8</t>
  </si>
  <si>
    <t>https://www.imdb.com/title/tt4971344/?ref_=nm_flmg_com_9</t>
  </si>
  <si>
    <t>https://www.imdb.com/title/tt5208252/?ref_=nm_flmg_com_10</t>
  </si>
  <si>
    <t>https://www.imdb.com/title/tt5104604/?ref_=nm_flmg_com_11</t>
  </si>
  <si>
    <t>https://www.imdb.com/title/tt0491175/?ref_=nm_flmg_com_12</t>
  </si>
  <si>
    <t>https://www.imdb.com/title/tt5539466/?ref_=nm_flmg_com_13</t>
  </si>
  <si>
    <t>https://www.imdb.com/title/tt5580390/?ref_=nm_flmg_com_14</t>
  </si>
  <si>
    <t>https://www.imdb.com/title/tt2239822/?ref_=nm_flmg_com_15</t>
  </si>
  <si>
    <t>https://www.imdb.com/title/tt5893264/?ref_=nm_flmg_com_16</t>
  </si>
  <si>
    <t>https://www.imdb.com/title/tt6777114/?ref_=nm_flmg_com_17</t>
  </si>
  <si>
    <t>https://www.imdb.com/title/tt1734135/?ref_=nm_flmg_com_18</t>
  </si>
  <si>
    <t>https://www.imdb.com/title/tt0376479/?ref_=nm_flmg_com_19</t>
  </si>
  <si>
    <t>https://www.imdb.com/title/tt5096536/?ref_=nm_flmg_com_20</t>
  </si>
  <si>
    <t>https://www.imdb.com/title/tt2547584/?ref_=nm_flmg_com_21</t>
  </si>
  <si>
    <t>https://www.imdb.com/title/tt2709768/?ref_=nm_flmg_com_22</t>
  </si>
  <si>
    <t>https://www.imdb.com/title/tt4003966/?ref_=nm_flmg_com_23</t>
  </si>
  <si>
    <t>https://www.imdb.com/title/tt4857622/?ref_=nm_flmg_com_24</t>
  </si>
  <si>
    <t>https://www.imdb.com/title/tt4136084/?ref_=nm_flmg_com_25</t>
  </si>
  <si>
    <t>https://www.imdb.com/title/tt12127904/?ref_=nm_flmg_com_26</t>
  </si>
  <si>
    <t>https://www.imdb.com/title/tt3026488/?ref_=nm_flmg_com_27</t>
  </si>
  <si>
    <t>https://www.imdb.com/title/tt1659619/?ref_=nm_flmg_com_28</t>
  </si>
  <si>
    <t>https://www.imdb.com/title/tt10831544/?ref_=nm_flmg_com_29</t>
  </si>
  <si>
    <t>https://www.imdb.com/title/tt0810819/?ref_=nm_flmg_com_30</t>
  </si>
  <si>
    <t>https://www.imdb.com/title/tt3077214/?ref_=nm_flmg_com_31</t>
  </si>
  <si>
    <t>https://www.imdb.com/title/tt4062208/?ref_=nm_flmg_com_32</t>
  </si>
  <si>
    <t>https://www.imdb.com/title/tt3278330/?ref_=nm_flmg_com_33</t>
  </si>
  <si>
    <t>https://www.imdb.com/title/tt1707380/?ref_=nm_flmg_com_34</t>
  </si>
  <si>
    <t>https://www.imdb.com/title/tt1809398/?ref_=nm_flmg_com_35</t>
  </si>
  <si>
    <t>https://www.imdb.com/title/tt2084970/?ref_=nm_flmg_com_36</t>
  </si>
  <si>
    <t>https://www.imdb.com/title/tt0831387/?ref_=nm_flmg_com_37</t>
  </si>
  <si>
    <t>https://www.imdb.com/title/tt2278388/?ref_=nm_flmg_com_38</t>
  </si>
  <si>
    <t>https://www.imdb.com/title/tt2177771/?ref_=nm_flmg_com_39</t>
  </si>
  <si>
    <t>https://www.imdb.com/title/tt3587466/?ref_=nm_flmg_com_40</t>
  </si>
  <si>
    <t>https://www.imdb.com/title/tt2431286/?ref_=nm_flmg_com_41</t>
  </si>
  <si>
    <t>https://www.imdb.com/title/tt1872101/?ref_=nm_flmg_com_42</t>
  </si>
  <si>
    <t>https://www.imdb.com/title/tt1872102/?ref_=nm_flmg_com_43</t>
  </si>
  <si>
    <t>https://www.imdb.com/title/tt2249221/?ref_=nm_flmg_com_44</t>
  </si>
  <si>
    <t>https://www.imdb.com/title/tt2406252/?ref_=nm_flmg_com_45</t>
  </si>
  <si>
    <t>https://www.imdb.com/title/tt1807859/?ref_=nm_flmg_com_46</t>
  </si>
  <si>
    <t>https://www.imdb.com/title/tt1790885/?ref_=nm_flmg_com_47</t>
  </si>
  <si>
    <t>https://www.imdb.com/title/tt1446192/?ref_=nm_flmg_com_48</t>
  </si>
  <si>
    <t>https://www.imdb.com/title/tt1024648/?ref_=nm_flmg_com_49</t>
  </si>
  <si>
    <t>https://www.imdb.com/title/tt2150332/?ref_=nm_flmg_com_50</t>
  </si>
  <si>
    <t>https://www.imdb.com/title/tt2167404/?ref_=nm_flmg_com_51</t>
  </si>
  <si>
    <t>https://www.imdb.com/title/tt1846487/?ref_=nm_flmg_com_52</t>
  </si>
  <si>
    <t>https://www.imdb.com/title/tt2053425/?ref_=nm_flmg_com_53</t>
  </si>
  <si>
    <t>https://www.imdb.com/title/tt1748122/?ref_=nm_flmg_com_54</t>
  </si>
  <si>
    <t>https://www.imdb.com/title/tt2076176/?ref_=nm_flmg_com_55</t>
  </si>
  <si>
    <t>https://www.imdb.com/title/tt0477302/?ref_=nm_flmg_com_56</t>
  </si>
  <si>
    <t>https://www.imdb.com/title/tt2079571/?ref_=nm_flmg_com_57</t>
  </si>
  <si>
    <t>https://www.imdb.com/title/tt1692486/?ref_=nm_flmg_com_58</t>
  </si>
  <si>
    <t>https://www.imdb.com/title/tt1124035/?ref_=nm_flmg_com_59</t>
  </si>
  <si>
    <t>https://www.imdb.com/title/tt1201607/?ref_=nm_flmg_com_60</t>
  </si>
  <si>
    <t>https://www.imdb.com/title/tt1554091/?ref_=nm_flmg_com_61</t>
  </si>
  <si>
    <t>https://www.imdb.com/title/tt0478304/?ref_=nm_flmg_com_62</t>
  </si>
  <si>
    <t>https://www.imdb.com/title/tt1473063/?ref_=nm_flmg_com_63</t>
  </si>
  <si>
    <t>https://www.imdb.com/title/tt1322333/?ref_=nm_flmg_com_64</t>
  </si>
  <si>
    <t>https://www.imdb.com/title/tt0926084/?ref_=nm_flmg_com_65</t>
  </si>
  <si>
    <t>https://www.imdb.com/title/tt1504320/?ref_=nm_flmg_com_66</t>
  </si>
  <si>
    <t>https://www.imdb.com/title/tt1117646/?ref_=nm_flmg_com_67</t>
  </si>
  <si>
    <t>https://www.imdb.com/title/tt1486190/?ref_=nm_flmg_com_68</t>
  </si>
  <si>
    <t>https://www.imdb.com/title/tt1139328/?ref_=nm_flmg_com_69</t>
  </si>
  <si>
    <t>https://www.imdb.com/title/tt1259571/?ref_=nm_flmg_com_70</t>
  </si>
  <si>
    <t>https://www.imdb.com/title/tt0432283/?ref_=nm_flmg_com_71</t>
  </si>
  <si>
    <t>https://www.imdb.com/title/tt1135503/?ref_=nm_flmg_com_72</t>
  </si>
  <si>
    <t>https://www.imdb.com/title/tt1258120/?ref_=nm_flmg_com_73</t>
  </si>
  <si>
    <t>https://www.imdb.com/title/tt1235166/?ref_=nm_flmg_com_74</t>
  </si>
  <si>
    <t>https://www.imdb.com/title/tt1035736/?ref_=nm_flmg_com_75</t>
  </si>
  <si>
    <t>https://www.imdb.com/title/tt1179258/?ref_=nm_flmg_com_76</t>
  </si>
  <si>
    <t>https://www.imdb.com/title/tt0421715/?ref_=nm_flmg_com_77</t>
  </si>
  <si>
    <t>https://www.imdb.com/title/tt0808339/?ref_=nm_flmg_com_78</t>
  </si>
  <si>
    <t>https://www.imdb.com/title/tt0940580/?ref_=nm_flmg_com_79</t>
  </si>
  <si>
    <t>https://www.imdb.com/title/tt0385752/?ref_=nm_flmg_com_80</t>
  </si>
  <si>
    <t>https://www.imdb.com/title/tt0457419/?ref_=nm_flmg_com_81</t>
  </si>
  <si>
    <t>https://www.imdb.com/title/tt0825248/?ref_=nm_flmg_com_82</t>
  </si>
  <si>
    <t>https://www.imdb.com/title/tt0808357/?ref_=nm_flmg_com_83</t>
  </si>
  <si>
    <t>https://www.imdb.com/title/tt1010457/?ref_=nm_flmg_com_84</t>
  </si>
  <si>
    <t>https://www.imdb.com/title/tt0478705/?ref_=nm_flmg_com_85</t>
  </si>
  <si>
    <t>https://www.imdb.com/title/tt0446755/?ref_=nm_flmg_com_86</t>
  </si>
  <si>
    <t>https://www.imdb.com/title/tt0436697/?ref_=nm_flmg_com_87</t>
  </si>
  <si>
    <t>https://www.imdb.com/title/tt0464828/?ref_=nm_flmg_com_88</t>
  </si>
  <si>
    <t>https://www.imdb.com/title/tt0449851/?ref_=nm_flmg_com_89</t>
  </si>
  <si>
    <t>https://www.imdb.com/title/tt0408345/?ref_=nm_flmg_com_90</t>
  </si>
  <si>
    <t>https://www.imdb.com/title/tt0409681/?ref_=nm_flmg_com_91</t>
  </si>
  <si>
    <t>https://www.imdb.com/title/tt0365737/?ref_=nm_flmg_com_92</t>
  </si>
  <si>
    <t>https://www.imdb.com/title/tt0402894/?ref_=nm_flmg_com_93</t>
  </si>
  <si>
    <t>https://www.imdb.com/title/tt0380834/?ref_=nm_flmg_com_94</t>
  </si>
  <si>
    <t>https://www.imdb.com/title/tt0340163/?ref_=nm_flmg_com_95</t>
  </si>
  <si>
    <t>https://www.imdb.com/title/tt0411270/?ref_=nm_flmg_com_96</t>
  </si>
  <si>
    <t>https://www.imdb.com/title/tt0365885/?ref_=nm_flmg_com_97</t>
  </si>
  <si>
    <t>https://www.imdb.com/title/tt0400897/?ref_=nm_flmg_com_98</t>
  </si>
  <si>
    <t>https://www.imdb.com/title/tt0380349/?ref_=nm_flmg_com_99</t>
  </si>
  <si>
    <t>https://www.imdb.com/title/tt0337876/?ref_=nm_flmg_com_100</t>
  </si>
  <si>
    <t>https://www.imdb.com/title/tt0402431/?ref_=nm_flmg_com_101</t>
  </si>
  <si>
    <t>https://www.imdb.com/title/tt0339204/?ref_=nm_flmg_com_102</t>
  </si>
  <si>
    <t>https://www.imdb.com/title/tt0387058/?ref_=nm_flmg_com_103</t>
  </si>
  <si>
    <t>https://www.imdb.com/title/tt0335119/?ref_=nm_flmg_com_104</t>
  </si>
  <si>
    <t>https://www.imdb.com/title/tt0348876/?ref_=nm_flmg_com_105</t>
  </si>
  <si>
    <t>https://www.imdb.com/title/tt0318773/?ref_=nm_flmg_com_106</t>
  </si>
  <si>
    <t>https://www.imdb.com/title/tt0361474/?ref_=nm_flmg_com_107</t>
  </si>
  <si>
    <t>https://www.imdb.com/title/tt0372017/?ref_=nm_flmg_com_108</t>
  </si>
  <si>
    <t>https://www.imdb.com/title/tt0325948/?ref_=nm_flmg_com_109</t>
  </si>
  <si>
    <t>https://www.imdb.com/title/tt0350580/?ref_=nm_flmg_com_110</t>
  </si>
  <si>
    <t>https://www.imdb.com/title/tt0316494/?ref_=nm_flmg_com_111</t>
  </si>
  <si>
    <t>https://www.imdb.com/title/tt0337676/?ref_=nm_flmg_com_112</t>
  </si>
  <si>
    <t>https://www.imdb.com/title/tt0338411/?ref_=nm_flmg_com_113</t>
  </si>
  <si>
    <t>https://www.imdb.com/title/tt0456156/?ref_=nm_flmg_com_114</t>
  </si>
  <si>
    <t>https://www.imdb.com/title/tt0341621/?ref_=nm_flmg_com_115</t>
  </si>
  <si>
    <t>https://www.imdb.com/title/tt0345774/?ref_=nm_flmg_com_116</t>
  </si>
  <si>
    <t>https://www.imdb.com/title/tt0329710/?ref_=nm_flmg_com_117</t>
  </si>
  <si>
    <t>https://www.imdb.com/title/tt0280990/?ref_=nm_flmg_com_118</t>
  </si>
  <si>
    <t>https://www.imdb.com/title/tt0309825/?ref_=nm_flmg_com_119</t>
  </si>
  <si>
    <t>https://www.imdb.com/title/tt0348903/?ref_=nm_flmg_com_120</t>
  </si>
  <si>
    <t>https://www.imdb.com/title/tt0269771/?ref_=nm_flmg_com_121</t>
  </si>
  <si>
    <t>https://www.imdb.com/title/tt0274117/?ref_=nm_flmg_com_122</t>
  </si>
  <si>
    <t>https://www.imdb.com/title/tt0284573/?ref_=nm_flmg_com_123</t>
  </si>
  <si>
    <t>https://www.imdb.com/title/tt0246158/?ref_=nm_flmg_com_124</t>
  </si>
  <si>
    <t>https://www.imdb.com/title/tt0254385/?ref_=nm_flmg_com_125</t>
  </si>
  <si>
    <t>https://www.imdb.com/title/tt0267044/?ref_=nm_flmg_com_126</t>
  </si>
  <si>
    <t>https://www.imdb.com/title/tt0197826/?ref_=nm_flmg_com_127</t>
  </si>
  <si>
    <t>https://www.imdb.com/title/tt0211492/?ref_=nm_flmg_com_128</t>
  </si>
  <si>
    <t>https://www.imdb.com/title/tt0216890/?ref_=nm_flmg_com_129</t>
  </si>
  <si>
    <t>https://www.imdb.com/title/tt0229022/?ref_=nm_flmg_com_130</t>
  </si>
  <si>
    <t>https://www.imdb.com/title/tt0393515/?ref_=nm_flmg_com_131</t>
  </si>
  <si>
    <t>https://www.imdb.com/title/tt3805856/?ref_=nm_flmg_com_132</t>
  </si>
  <si>
    <t>https://www.imdb.com/title/tt0209280/?ref_=nm_flmg_com_133</t>
  </si>
  <si>
    <t>https://www.imdb.com/title/tt0205269/?ref_=nm_flmg_com_134</t>
  </si>
  <si>
    <t>https://www.imdb.com/title/tt0184128/?ref_=nm_flmg_com_135</t>
  </si>
  <si>
    <t>https://www.imdb.com/title/tt0184099/?ref_=nm_flmg_com_136</t>
  </si>
  <si>
    <t>https://www.imdb.com/title/tt0188506/?ref_=nm_flmg_com_137</t>
  </si>
  <si>
    <t>https://www.imdb.com/title/tt0196420/?ref_=nm_flmg_com_138</t>
  </si>
  <si>
    <t>https://www.imdb.com/title/tt0176394/?ref_=nm_flmg_com_139</t>
  </si>
  <si>
    <t>https://www.imdb.com/title/tt0143944/?ref_=nm_flmg_com_140</t>
  </si>
  <si>
    <t>https://www.imdb.com/title/tt0185166/?ref_=nm_flmg_com_141</t>
  </si>
  <si>
    <t>https://www.imdb.com/title/tt0169348/?ref_=nm_flmg_com_142</t>
  </si>
  <si>
    <t>https://www.imdb.com/title/tt0152178/?ref_=nm_flmg_com_143</t>
  </si>
  <si>
    <t>https://www.imdb.com/title/tt0120013/?ref_=nm_flmg_com_144</t>
  </si>
  <si>
    <t>https://www.imdb.com/title/tt0119247/?ref_=nm_flmg_com_145</t>
  </si>
  <si>
    <t>https://www.imdb.com/title/tt0119112/?ref_=nm_flmg_com_146</t>
  </si>
  <si>
    <t>https://www.imdb.com/title/tt0127899/?ref_=nm_flmg_com_147</t>
  </si>
  <si>
    <t>https://www.imdb.com/title/tt0120406/?ref_=nm_flmg_com_148</t>
  </si>
  <si>
    <t>https://www.imdb.com/title/tt0246318/?ref_=nm_flmg_com_149</t>
  </si>
  <si>
    <t>https://www.imdb.com/title/tt0208517/?ref_=nm_flmg_com_150</t>
  </si>
  <si>
    <t>https://www.imdb.com/title/tt0116932/?ref_=nm_flmg_com_151</t>
  </si>
  <si>
    <t>https://www.imdb.com/title/tt0117303/?ref_=nm_flmg_com_152</t>
  </si>
  <si>
    <t>https://www.imdb.com/title/tt0115973/?ref_=nm_flmg_com_153</t>
  </si>
  <si>
    <t>https://www.imdb.com/title/tt0273163/?ref_=nm_flmg_com_154</t>
  </si>
  <si>
    <t>https://www.imdb.com/title/tt3793732/?ref_=nm_flmg_com_155</t>
  </si>
  <si>
    <t>https://www.imdb.com/title/tt0113716/?ref_=nm_flmg_com_156</t>
  </si>
  <si>
    <t>https://www.imdb.com/title/tt0118020/?ref_=nm_flmg_com_157</t>
  </si>
  <si>
    <t>https://www.imdb.com/title/tt0363901/?ref_=nm_flmg_com_158</t>
  </si>
  <si>
    <t>https://www.imdb.com/title/tt9460866/?ref_=nm_flmg_com_159</t>
  </si>
  <si>
    <t>https://www.imdb.com/title/tt1948226/?ref_=nm_flmg_com_160</t>
  </si>
  <si>
    <t>https://www.imdb.com/title/tt0421766/?ref_=nm_flmg_com_161</t>
  </si>
  <si>
    <t>https://www.imdb.com/title/tt0316459/?ref_=nm_flmg_com_162</t>
  </si>
  <si>
    <t>https://www.imdb.com/title/tt0267494/?ref_=nm_flmg_com_163</t>
  </si>
  <si>
    <t>https://www.imdb.com/title/tt0114146/?ref_=nm_flmg_com_164</t>
  </si>
  <si>
    <t>https://www.imdb.com/title/tt0110330/?ref_=nm_flmg_com_165</t>
  </si>
  <si>
    <t>https://www.imdb.com/title/tt0113249/?ref_=nm_flmg_com_166</t>
  </si>
  <si>
    <t>https://www.imdb.com/title/tt0110469/?ref_=nm_flmg_com_167</t>
  </si>
  <si>
    <t>https://www.imdb.com/title/tt9460836/?ref_=nm_flmg_com_168</t>
  </si>
  <si>
    <t>https://www.imdb.com/title/tt0110958/?ref_=nm_flmg_com_169</t>
  </si>
  <si>
    <t>https://www.imdb.com/title/tt0184805/?ref_=nm_flmg_com_170</t>
  </si>
  <si>
    <t>https://www.imdb.com/title/tt3317168/?ref_=nm_flmg_com_171</t>
  </si>
  <si>
    <t>https://www.imdb.com/title/tt0316064/?ref_=nm_flmg_com_172</t>
  </si>
  <si>
    <t>https://www.imdb.com/title/tt0148345/?ref_=nm_flmg_com_173</t>
  </si>
  <si>
    <t>https://www.imdb.com/title/tt0107146/?ref_=nm_flmg_com_174</t>
  </si>
  <si>
    <t>https://www.imdb.com/title/tt0197975/?ref_=nm_flmg_com_175</t>
  </si>
  <si>
    <t>https://www.imdb.com/title/tt0478858/?ref_=nm_flmg_com_176</t>
  </si>
  <si>
    <t>https://www.imdb.com/title/tt0195974/?ref_=nm_flmg_com_177</t>
  </si>
  <si>
    <t>https://www.imdb.com/title/tt0105369/?ref_=nm_flmg_com_178</t>
  </si>
  <si>
    <t>https://www.imdb.com/title/tt0103731/?ref_=nm_flmg_com_179</t>
  </si>
  <si>
    <t>https://www.imdb.com/title/tt0316508/?ref_=nm_flmg_com_180</t>
  </si>
  <si>
    <t>https://www.imdb.com/title/tt0253708/?ref_=nm_flmg_com_181</t>
  </si>
  <si>
    <t>https://www.imdb.com/title/tt0315020/?ref_=nm_flmg_com_182</t>
  </si>
  <si>
    <t>https://www.imdb.com/title/tt0231563/?ref_=nm_flmg_com_183</t>
  </si>
  <si>
    <t>https://www.imdb.com/title/tt0104682/?ref_=nm_flmg_com_184</t>
  </si>
  <si>
    <t>https://www.imdb.com/title/tt1194638/?ref_=nm_flmg_com_185</t>
  </si>
  <si>
    <t>https://www.imdb.com/title/tt0318798/?ref_=nm_flmg_com_186</t>
  </si>
  <si>
    <t>https://www.imdb.com/title/tt0136289/?ref_=nm_flmg_com_187</t>
  </si>
  <si>
    <t>https://www.imdb.com/title/tt10359378/?ref_=nm_flmg_com_188</t>
  </si>
  <si>
    <t>2021</t>
  </si>
  <si>
    <t>2020</t>
  </si>
  <si>
    <t>2019</t>
  </si>
  <si>
    <t>Little Women</t>
  </si>
  <si>
    <t>Intrige</t>
  </si>
  <si>
    <t>2018</t>
  </si>
  <si>
    <t>Kursk</t>
  </si>
  <si>
    <t>The Sisters Brothers</t>
  </si>
  <si>
    <t>Operation Finale</t>
  </si>
  <si>
    <t>2017</t>
  </si>
  <si>
    <t>Espèces menacées</t>
  </si>
  <si>
    <t>Shape of Water: Das Flüstern des Wassers</t>
  </si>
  <si>
    <t>/INach einer wahren Geschichte</t>
  </si>
  <si>
    <t>2016</t>
  </si>
  <si>
    <t>Amerikanisches Idyll</t>
  </si>
  <si>
    <t>Die Lebenden reparieren</t>
  </si>
  <si>
    <t>Liebe zwischen den Meeren</t>
  </si>
  <si>
    <t>Florence Foster Jenkins</t>
  </si>
  <si>
    <t>Jeder stirbt für sich allein</t>
  </si>
  <si>
    <t>Jacques - Entdecker der Ozeane</t>
  </si>
  <si>
    <t>2015</t>
  </si>
  <si>
    <t>The Danish Girl</t>
  </si>
  <si>
    <t>Suffragette: Taten statt Worte</t>
  </si>
  <si>
    <t>Une histoire de fou</t>
  </si>
  <si>
    <t>Every Thing Will Be Fine</t>
  </si>
  <si>
    <t>2014</t>
  </si>
  <si>
    <t>The Imitation Game - Ein streng geheimes Leben</t>
  </si>
  <si>
    <t>Godzilla</t>
  </si>
  <si>
    <t>Grand Budapest Hotel</t>
  </si>
  <si>
    <t>2013</t>
  </si>
  <si>
    <t>Philomena: Eine Mutter sucht ihren Sohn</t>
  </si>
  <si>
    <t>Fanny</t>
  </si>
  <si>
    <t>Marius</t>
  </si>
  <si>
    <t>Zulu</t>
  </si>
  <si>
    <t>Venus im Pelz</t>
  </si>
  <si>
    <t>2012</t>
  </si>
  <si>
    <t>Zero Dark Thirty</t>
  </si>
  <si>
    <t>Die Hüter des Lichts</t>
  </si>
  <si>
    <t>Argo</t>
  </si>
  <si>
    <t>Renoir</t>
  </si>
  <si>
    <t>Der Geschmack von Rost und Knochen</t>
  </si>
  <si>
    <t>Moonrise Kingdom</t>
  </si>
  <si>
    <t>My Way - Ein Leben für das Chanson</t>
  </si>
  <si>
    <t>2011</t>
  </si>
  <si>
    <t>Extrem laut &amp; unglaublich nah</t>
  </si>
  <si>
    <t>Der Gott des Gemetzels</t>
  </si>
  <si>
    <t>The Ides of March - Tage des Verrats</t>
  </si>
  <si>
    <t>Harry Potter und die Heiligtümer des Todes - Teil 2</t>
  </si>
  <si>
    <t>A Better Life</t>
  </si>
  <si>
    <t>The Tree of Life</t>
  </si>
  <si>
    <t>La fille du puisatier</t>
  </si>
  <si>
    <t>Largo Winch II - Die Burma Verschwörung</t>
  </si>
  <si>
    <t>2010</t>
  </si>
  <si>
    <t>Harry Potter und die Heiligtümer des Todes - Teil 1</t>
  </si>
  <si>
    <t>The King's Speech - Die Rede des Königs</t>
  </si>
  <si>
    <t>Immer Drama um Tamara</t>
  </si>
  <si>
    <t>Der Ghostwriter</t>
  </si>
  <si>
    <t>2009</t>
  </si>
  <si>
    <t>New Moon - Biss zur Mittagsstunde</t>
  </si>
  <si>
    <t>Julie &amp; Julia</t>
  </si>
  <si>
    <t>L'armée du crime</t>
  </si>
  <si>
    <t>Ein Prophet</t>
  </si>
  <si>
    <t>Coco Chanel: Der Beginn einer Leidenschaft</t>
  </si>
  <si>
    <t>Chéri - Eine Komödie der Eitelkeiten</t>
  </si>
  <si>
    <t>2008</t>
  </si>
  <si>
    <t>Der seltsame Fall des Benjamin Button</t>
  </si>
  <si>
    <t>Largo Winch</t>
  </si>
  <si>
    <t>Ein Engel im Winter</t>
  </si>
  <si>
    <t>2007</t>
  </si>
  <si>
    <t>Der Feind in den eigenen Reihen - Intimate Enemies</t>
  </si>
  <si>
    <t>Gefahr und Begierde</t>
  </si>
  <si>
    <t>Michou d'Auber</t>
  </si>
  <si>
    <t>2006</t>
  </si>
  <si>
    <t>Der bunte Schleier</t>
  </si>
  <si>
    <t>Die Queen</t>
  </si>
  <si>
    <t>In flagranti - Wohin mit der Geliebten?</t>
  </si>
  <si>
    <t>Firewall</t>
  </si>
  <si>
    <t>Alibi</t>
  </si>
  <si>
    <t>2005</t>
  </si>
  <si>
    <t>Syriana</t>
  </si>
  <si>
    <t>Casanova</t>
  </si>
  <si>
    <t>Une aventure</t>
  </si>
  <si>
    <t>Hostage - Entführt</t>
  </si>
  <si>
    <t>Der wilde Schlag meines Herzens</t>
  </si>
  <si>
    <t>An deiner Schulter</t>
  </si>
  <si>
    <t>Tu vas rire, mais je te quitte</t>
  </si>
  <si>
    <t>2004</t>
  </si>
  <si>
    <t>Willkommen bei den Korsen</t>
  </si>
  <si>
    <t>Birth</t>
  </si>
  <si>
    <t>2003</t>
  </si>
  <si>
    <t>Inquiétudes</t>
  </si>
  <si>
    <t>Das Mädchen mit einem Perlenohrring</t>
  </si>
  <si>
    <t>Stormy Weather</t>
  </si>
  <si>
    <t>Tristan</t>
  </si>
  <si>
    <t>Es brennt in mir</t>
  </si>
  <si>
    <t>Pakt des Schweigens</t>
  </si>
  <si>
    <t>Rire et châtiment</t>
  </si>
  <si>
    <t>2002</t>
  </si>
  <si>
    <t>Das tödliche Wespennest</t>
  </si>
  <si>
    <t>2001</t>
  </si>
  <si>
    <t>Reines d'un jour</t>
  </si>
  <si>
    <t>Tödliche Bekenntnisse</t>
  </si>
  <si>
    <t>Mauvais genres</t>
  </si>
  <si>
    <t>Les portes de la gloire</t>
  </si>
  <si>
    <t>Barnie et ses petites contrariétés</t>
  </si>
  <si>
    <t>2000</t>
  </si>
  <si>
    <t>Amazone</t>
  </si>
  <si>
    <t>Vive nous!</t>
  </si>
  <si>
    <t>1999</t>
  </si>
  <si>
    <t>1996</t>
  </si>
  <si>
    <t>Liebe in Zeiten der Arbeitslosigkeit</t>
  </si>
  <si>
    <t>Monsieur Naphtali</t>
  </si>
  <si>
    <t>Kwom und der König der Affen</t>
  </si>
  <si>
    <t>C'est pas ma faute!</t>
  </si>
  <si>
    <t>Männer ohne Ehre</t>
  </si>
  <si>
    <t>1998</t>
  </si>
  <si>
    <t>Atilano, presidente</t>
  </si>
  <si>
    <t>Ende der Geduld</t>
  </si>
  <si>
    <t>Restons groupés</t>
  </si>
  <si>
    <t>Rache ist süß</t>
  </si>
  <si>
    <t>Alle meine Väter</t>
  </si>
  <si>
    <t>1997</t>
  </si>
  <si>
    <t>La femme du cosmonaute</t>
  </si>
  <si>
    <t>Sous les pieds des femmes</t>
  </si>
  <si>
    <t>Love, etc.</t>
  </si>
  <si>
    <t>Passage à l'acte</t>
  </si>
  <si>
    <t>Der Schrei der Seide</t>
  </si>
  <si>
    <t>Lucky Punch</t>
  </si>
  <si>
    <t>Das Leben - Eine Lüge</t>
  </si>
  <si>
    <t>1995</t>
  </si>
  <si>
    <t>Das schönste Alter</t>
  </si>
  <si>
    <t>Les milles - Gefangen im Lager</t>
  </si>
  <si>
    <t>Innocent Lies</t>
  </si>
  <si>
    <t>Marie-Louise ou la permission</t>
  </si>
  <si>
    <t>1994</t>
  </si>
  <si>
    <t>Wenn Männer fallen</t>
  </si>
  <si>
    <t>1993</t>
  </si>
  <si>
    <t>Pesthauch des Bösen</t>
  </si>
  <si>
    <t>Le tronc</t>
  </si>
  <si>
    <t>1992</t>
  </si>
  <si>
    <t>Sexes faibles!</t>
  </si>
  <si>
    <t>Au nom du père et du fils</t>
  </si>
  <si>
    <t>1991</t>
  </si>
  <si>
    <t>Gefährliche Straßen</t>
  </si>
  <si>
    <t>Schattenwelt</t>
  </si>
  <si>
    <t>1989</t>
  </si>
  <si>
    <t>1987</t>
  </si>
  <si>
    <t>1986</t>
  </si>
  <si>
    <t>Ki lo sa?</t>
  </si>
  <si>
    <t>1985</t>
  </si>
  <si>
    <t>Le Pays de Guillaume Tell</t>
  </si>
  <si>
    <t>Monuments Men: Ungewöhnliche Helden</t>
  </si>
  <si>
    <t>Filmtyp</t>
  </si>
  <si>
    <t>Link</t>
  </si>
  <si>
    <t>Title</t>
  </si>
  <si>
    <t>https://m.media-amazon.com/images/M/MV5BMzBmYWY2MjAtZDY3Ni00Nzc3LTlhOTEtNjg5NTAyNzlkYmQ5XkEyXkFqcGdeQXVyMjUzMTYzMDI@._V1_UY209_CR0,0,140,209_AL_.jpg</t>
  </si>
  <si>
    <t>https://m.media-amazon.com/images/M/MV5BMTkwNjk2ODY2NF5BMl5BanBnXkFtZTcwNTgzNjAyOQ@@._V1_UX140_CR0,0,140,209_AL_.jpg</t>
  </si>
  <si>
    <t>https://m.media-amazon.com/images/G/01/imdb/images/nopicture/140x209/film-4001654135._CB466678728_.png</t>
  </si>
  <si>
    <t>tt1488589</t>
  </si>
  <si>
    <t>https://m.media-amazon.com/images/M/MV5BZDJjNDRmN2ItNjgyNy00YmNmLWI3NGMtOTcxMjcyODA3MTJkXkEyXkFqcGdeQXVyMTkxNjUyNQ@@._V1_UX140_CR0,0,140,209_AL_.jpg</t>
  </si>
  <si>
    <t>tt8847712</t>
  </si>
  <si>
    <t>tt10821190</t>
  </si>
  <si>
    <t>tt11759418</t>
  </si>
  <si>
    <t>tt11786794</t>
  </si>
  <si>
    <t>tt3281548</t>
  </si>
  <si>
    <t>tt5113040</t>
  </si>
  <si>
    <t>tt2398149</t>
  </si>
  <si>
    <t>tt7493370</t>
  </si>
  <si>
    <t>tt9744630</t>
  </si>
  <si>
    <t>tt9409328</t>
  </si>
  <si>
    <t>tt10011108</t>
  </si>
  <si>
    <t>tt5104604</t>
  </si>
  <si>
    <t>tt4971344</t>
  </si>
  <si>
    <t>tt5208252</t>
  </si>
  <si>
    <t>tt4951982</t>
  </si>
  <si>
    <t>tt7235270</t>
  </si>
  <si>
    <t>tt6635044</t>
  </si>
  <si>
    <t>tt7866928</t>
  </si>
  <si>
    <t>tt9372250</t>
  </si>
  <si>
    <t>tt8093200</t>
  </si>
  <si>
    <t>tt9454850</t>
  </si>
  <si>
    <t>tt7940216</t>
  </si>
  <si>
    <t>tt11459386</t>
  </si>
  <si>
    <t>tt8370154</t>
  </si>
  <si>
    <t>tt8167214</t>
  </si>
  <si>
    <t>tt8024560</t>
  </si>
  <si>
    <t>tt8120376</t>
  </si>
  <si>
    <t>tt5580390</t>
  </si>
  <si>
    <t>tt2239822</t>
  </si>
  <si>
    <t>tt2872518</t>
  </si>
  <si>
    <t>tt0491175</t>
  </si>
  <si>
    <t>tt5893264</t>
  </si>
  <si>
    <t>tt5539466</t>
  </si>
  <si>
    <t>tt6777114</t>
  </si>
  <si>
    <t>tt6950222</t>
  </si>
  <si>
    <t>tt7171248</t>
  </si>
  <si>
    <t>tt6545560</t>
  </si>
  <si>
    <t>tt7752942</t>
  </si>
  <si>
    <t>tt2709768</t>
  </si>
  <si>
    <t>tt1800302</t>
  </si>
  <si>
    <t>tt2547584</t>
  </si>
  <si>
    <t>tt1734135</t>
  </si>
  <si>
    <t>tt4136084</t>
  </si>
  <si>
    <t>tt0376479</t>
  </si>
  <si>
    <t>tt3026488</t>
  </si>
  <si>
    <t>tt4003966</t>
  </si>
  <si>
    <t>tt1659619</t>
  </si>
  <si>
    <t>tt5078354</t>
  </si>
  <si>
    <t>tt4207112</t>
  </si>
  <si>
    <t>tt5096536</t>
  </si>
  <si>
    <t>https://m.media-amazon.com/images/M/MV5BM2M1MjdkNWYtOGUwOS00MzQ4LWFhODEtODBkYTVmMDk1ZWQwXkEyXkFqcGdeQXVyMTMxODk2OTU@._V1_UY209_CR7,0,140,209_AL_.jpg</t>
  </si>
  <si>
    <t>tt4399942</t>
  </si>
  <si>
    <t>tt5641930</t>
  </si>
  <si>
    <t>tt12127904</t>
  </si>
  <si>
    <t>tt4857622</t>
  </si>
  <si>
    <t>tt5884214</t>
  </si>
  <si>
    <t>tt6410390</t>
  </si>
  <si>
    <t>tt4324578</t>
  </si>
  <si>
    <t>tt5569964</t>
  </si>
  <si>
    <t>tt6354066</t>
  </si>
  <si>
    <t>tt5603474</t>
  </si>
  <si>
    <t>tt5569920</t>
  </si>
  <si>
    <t>tt4324580</t>
  </si>
  <si>
    <t>tt5603476</t>
  </si>
  <si>
    <t>tt5569968</t>
  </si>
  <si>
    <t>tt5569950</t>
  </si>
  <si>
    <t>tt0810819</t>
  </si>
  <si>
    <t>tt3077214</t>
  </si>
  <si>
    <t>tt3278330</t>
  </si>
  <si>
    <t>tt1707380</t>
  </si>
  <si>
    <t>tt3674910</t>
  </si>
  <si>
    <t>tt4062208</t>
  </si>
  <si>
    <t>tt3270224</t>
  </si>
  <si>
    <t>tt4711266</t>
  </si>
  <si>
    <t>tt4761698</t>
  </si>
  <si>
    <t>tt10831544</t>
  </si>
  <si>
    <t>tt6081018</t>
  </si>
  <si>
    <t>tt4474980</t>
  </si>
  <si>
    <t>tt4514638</t>
  </si>
  <si>
    <t>tt2278388</t>
  </si>
  <si>
    <t>tt2084970</t>
  </si>
  <si>
    <t>tt1809398</t>
  </si>
  <si>
    <t>tt0831387</t>
  </si>
  <si>
    <t>tt0900387</t>
  </si>
  <si>
    <t>tt2177771</t>
  </si>
  <si>
    <t>tt2796782</t>
  </si>
  <si>
    <t>tt3587466</t>
  </si>
  <si>
    <t>tt5901980</t>
  </si>
  <si>
    <t>tt4375272</t>
  </si>
  <si>
    <t>tt7958010</t>
  </si>
  <si>
    <t>tt6144508</t>
  </si>
  <si>
    <t>tt4157238</t>
  </si>
  <si>
    <t>tt2406252</t>
  </si>
  <si>
    <t>tt2431286</t>
  </si>
  <si>
    <t>tt2249221</t>
  </si>
  <si>
    <t>tt1872101</t>
  </si>
  <si>
    <t>tt2461862</t>
  </si>
  <si>
    <t>tt1872102</t>
  </si>
  <si>
    <t>tt2622478</t>
  </si>
  <si>
    <t>tt2604420</t>
  </si>
  <si>
    <t>tt4478362</t>
  </si>
  <si>
    <t>tt7958036</t>
  </si>
  <si>
    <t>tt3416556</t>
  </si>
  <si>
    <t>tt2139467</t>
  </si>
  <si>
    <t>tt2318572</t>
  </si>
  <si>
    <t>tt3005762</t>
  </si>
  <si>
    <t>tt1024648</t>
  </si>
  <si>
    <t>tt1673434</t>
  </si>
  <si>
    <t>tt1790885</t>
  </si>
  <si>
    <t>tt1748122</t>
  </si>
  <si>
    <t>tt2053425</t>
  </si>
  <si>
    <t>tt1446192</t>
  </si>
  <si>
    <t>tt1132449</t>
  </si>
  <si>
    <t>tt2150332</t>
  </si>
  <si>
    <t>tt1846487</t>
  </si>
  <si>
    <t>tt2076176</t>
  </si>
  <si>
    <t>tt2167404</t>
  </si>
  <si>
    <t>tt2298972</t>
  </si>
  <si>
    <t>tt6711570</t>
  </si>
  <si>
    <t>tt1201607</t>
  </si>
  <si>
    <t>tt0478304</t>
  </si>
  <si>
    <t>tt1124035</t>
  </si>
  <si>
    <t>tt1655420</t>
  </si>
  <si>
    <t>tt1692486</t>
  </si>
  <si>
    <t>tt0477302</t>
  </si>
  <si>
    <t>tt1053810</t>
  </si>
  <si>
    <t>tt1807859</t>
  </si>
  <si>
    <t>tt1554091</t>
  </si>
  <si>
    <t>tt1322333</t>
  </si>
  <si>
    <t>tt1473063</t>
  </si>
  <si>
    <t>tt1680059</t>
  </si>
  <si>
    <t>tt2079571</t>
  </si>
  <si>
    <t>tt2126285</t>
  </si>
  <si>
    <t>tt2083208</t>
  </si>
  <si>
    <t>tt1817076</t>
  </si>
  <si>
    <t>tt11443084</t>
  </si>
  <si>
    <t>tt10160740</t>
  </si>
  <si>
    <t>tt1850106</t>
  </si>
  <si>
    <t>tt10165922</t>
  </si>
  <si>
    <t>tt0926084</t>
  </si>
  <si>
    <t>tt1504320</t>
  </si>
  <si>
    <t>tt1325004</t>
  </si>
  <si>
    <t>tt1139328</t>
  </si>
  <si>
    <t>tt1486190</t>
  </si>
  <si>
    <t>tt1117646</t>
  </si>
  <si>
    <t>tt0960730</t>
  </si>
  <si>
    <t>tt1736565</t>
  </si>
  <si>
    <t>tt2625950</t>
  </si>
  <si>
    <t>tt6921676</t>
  </si>
  <si>
    <t>tt1619610</t>
  </si>
  <si>
    <t>tt1259571</t>
  </si>
  <si>
    <t>tt0432283</t>
  </si>
  <si>
    <t>tt1135503</t>
  </si>
  <si>
    <t>tt1235166</t>
  </si>
  <si>
    <t>tt1179258</t>
  </si>
  <si>
    <t>tt1035736</t>
  </si>
  <si>
    <t>tt1219288</t>
  </si>
  <si>
    <t>tt1258120</t>
  </si>
  <si>
    <t>tt1430122</t>
  </si>
  <si>
    <t>tt2190581</t>
  </si>
  <si>
    <t>tt8343064</t>
  </si>
  <si>
    <t>tt0421715</t>
  </si>
  <si>
    <t>tt0808339</t>
  </si>
  <si>
    <t>tt0940580</t>
  </si>
  <si>
    <t>tt1560206</t>
  </si>
  <si>
    <t>tt8342762</t>
  </si>
  <si>
    <t>tt1322807</t>
  </si>
  <si>
    <t>tt5282432</t>
  </si>
  <si>
    <t>tt0385752</t>
  </si>
  <si>
    <t>tt0808357</t>
  </si>
  <si>
    <t>tt0457419</t>
  </si>
  <si>
    <t>tt0825248</t>
  </si>
  <si>
    <t>tt0478705</t>
  </si>
  <si>
    <t>tt5123584</t>
  </si>
  <si>
    <t>tt10122964</t>
  </si>
  <si>
    <t>tt0914790</t>
  </si>
  <si>
    <t>tt1010457</t>
  </si>
  <si>
    <t>tt1259751</t>
  </si>
  <si>
    <t>tt0408345</t>
  </si>
  <si>
    <t>tt0436697</t>
  </si>
  <si>
    <t>tt0446755</t>
  </si>
  <si>
    <t>tt0409681</t>
  </si>
  <si>
    <t>tt0449851</t>
  </si>
  <si>
    <t>tt0464828</t>
  </si>
  <si>
    <t>tt1245693</t>
  </si>
  <si>
    <t>tt0798417</t>
  </si>
  <si>
    <t>tt0779507</t>
  </si>
  <si>
    <t>tt0340163</t>
  </si>
  <si>
    <t>tt0365737</t>
  </si>
  <si>
    <t>tt0398017</t>
  </si>
  <si>
    <t>tt0402894</t>
  </si>
  <si>
    <t>tt0365885</t>
  </si>
  <si>
    <t>tt0411270</t>
  </si>
  <si>
    <t>tt0380834</t>
  </si>
  <si>
    <t>tt0400897</t>
  </si>
  <si>
    <t>tt0337876</t>
  </si>
  <si>
    <t>tt0371823</t>
  </si>
  <si>
    <t>tt0380349</t>
  </si>
  <si>
    <t>tt0426701</t>
  </si>
  <si>
    <t>tt0402431</t>
  </si>
  <si>
    <t>tt0444303</t>
  </si>
  <si>
    <t>tt0512190</t>
  </si>
  <si>
    <t>tt0335119</t>
  </si>
  <si>
    <t>tt0361474</t>
  </si>
  <si>
    <t>tt0325948</t>
  </si>
  <si>
    <t>tt0348876</t>
  </si>
  <si>
    <t>tt0339204</t>
  </si>
  <si>
    <t>tt0316494</t>
  </si>
  <si>
    <t>tt0387058</t>
  </si>
  <si>
    <t>tt0318773</t>
  </si>
  <si>
    <t>tt0372017</t>
  </si>
  <si>
    <t>tt0350580</t>
  </si>
  <si>
    <t>tt0328802</t>
  </si>
  <si>
    <t>tt0280990</t>
  </si>
  <si>
    <t>tt0329710</t>
  </si>
  <si>
    <t>tt0309825</t>
  </si>
  <si>
    <t>tt0341621</t>
  </si>
  <si>
    <t>tt0337676</t>
  </si>
  <si>
    <t>tt0386385</t>
  </si>
  <si>
    <t>tt0456156</t>
  </si>
  <si>
    <t>tt0345774</t>
  </si>
  <si>
    <t>tt0353981</t>
  </si>
  <si>
    <t>tt0274117</t>
  </si>
  <si>
    <t>tt0284573</t>
  </si>
  <si>
    <t>tt0246158</t>
  </si>
  <si>
    <t>tt0267044</t>
  </si>
  <si>
    <t>tt0306276</t>
  </si>
  <si>
    <t>tt0269771</t>
  </si>
  <si>
    <t>tt0338411</t>
  </si>
  <si>
    <t>tt0254385</t>
  </si>
  <si>
    <t>tt0348903</t>
  </si>
  <si>
    <t>tt0211492</t>
  </si>
  <si>
    <t>tt0216890</t>
  </si>
  <si>
    <t>tt0197826</t>
  </si>
  <si>
    <t>tt0229022</t>
  </si>
  <si>
    <t>tt0188506</t>
  </si>
  <si>
    <t>tt0209280</t>
  </si>
  <si>
    <t>tt0143944</t>
  </si>
  <si>
    <t>tt0196420</t>
  </si>
  <si>
    <t>tt0205269</t>
  </si>
  <si>
    <t>tt0184099</t>
  </si>
  <si>
    <t>tt0184128</t>
  </si>
  <si>
    <t>tt0393515</t>
  </si>
  <si>
    <t>tt0176394</t>
  </si>
  <si>
    <t>tt0216079</t>
  </si>
  <si>
    <t>tt0119247</t>
  </si>
  <si>
    <t>tt0120013</t>
  </si>
  <si>
    <t>tt0169348</t>
  </si>
  <si>
    <t>tt0152178</t>
  </si>
  <si>
    <t>tt0185166</t>
  </si>
  <si>
    <t>tt0127899</t>
  </si>
  <si>
    <t>tt0119112</t>
  </si>
  <si>
    <t>tt0120406</t>
  </si>
  <si>
    <t>tt0246318</t>
  </si>
  <si>
    <t>tt0118020</t>
  </si>
  <si>
    <t>tt0116932</t>
  </si>
  <si>
    <t>tt0117303</t>
  </si>
  <si>
    <t>tt0115973</t>
  </si>
  <si>
    <t>tt0113716</t>
  </si>
  <si>
    <t>tt0208517</t>
  </si>
  <si>
    <t>tt0273163</t>
  </si>
  <si>
    <t>tt1948226</t>
  </si>
  <si>
    <t>tt0363901</t>
  </si>
  <si>
    <t>tt9460866</t>
  </si>
  <si>
    <t>tt0386278</t>
  </si>
  <si>
    <t>tt0348600</t>
  </si>
  <si>
    <t>tt0113249</t>
  </si>
  <si>
    <t>tt3805856</t>
  </si>
  <si>
    <t>tt0114146</t>
  </si>
  <si>
    <t>tt0110469</t>
  </si>
  <si>
    <t>tt0110330</t>
  </si>
  <si>
    <t>tt0421766</t>
  </si>
  <si>
    <t>tt0267494</t>
  </si>
  <si>
    <t>tt0316459</t>
  </si>
  <si>
    <t>tt0110958</t>
  </si>
  <si>
    <t>tt0184805</t>
  </si>
  <si>
    <t>tt3317168</t>
  </si>
  <si>
    <t>tt9460836</t>
  </si>
  <si>
    <t>tt0107146</t>
  </si>
  <si>
    <t>tt0316064</t>
  </si>
  <si>
    <t>tt3793732</t>
  </si>
  <si>
    <t>tt0197975</t>
  </si>
  <si>
    <t>tt0148345</t>
  </si>
  <si>
    <t>tt0478858</t>
  </si>
  <si>
    <t>tt0105369</t>
  </si>
  <si>
    <t>tt0195974</t>
  </si>
  <si>
    <t>tt0103731</t>
  </si>
  <si>
    <t>tt0102367</t>
  </si>
  <si>
    <t>tt0104682</t>
  </si>
  <si>
    <t>tt0231563</t>
  </si>
  <si>
    <t>tt0315020</t>
  </si>
  <si>
    <t>tt0316508</t>
  </si>
  <si>
    <t>tt0253708</t>
  </si>
  <si>
    <t>tt1165468</t>
  </si>
  <si>
    <t>tt0100961</t>
  </si>
  <si>
    <t>tt1194638</t>
  </si>
  <si>
    <t>tt5672926</t>
  </si>
  <si>
    <t>tt0318798</t>
  </si>
  <si>
    <t>tt0136289</t>
  </si>
  <si>
    <t>tt10359378</t>
  </si>
  <si>
    <t>tt0480279</t>
  </si>
  <si>
    <t>tt0341901</t>
  </si>
  <si>
    <t>tt6581590</t>
  </si>
  <si>
    <t>Pic</t>
  </si>
  <si>
    <t>Internationale Filmfestspiele Berlin</t>
  </si>
  <si>
    <t>Chicago Film Critics Association Awards</t>
  </si>
  <si>
    <t>Étoile d’Or</t>
  </si>
  <si>
    <t>Europäischer Filmpreis</t>
  </si>
  <si>
    <t>Los Angeles Film Critics Association</t>
  </si>
  <si>
    <t>World Soundtrack Award</t>
  </si>
  <si>
    <t>Oscar</t>
  </si>
  <si>
    <t>Golden Globe Award</t>
  </si>
  <si>
    <t>British Academy Film Award</t>
  </si>
  <si>
    <t>César</t>
  </si>
  <si>
    <t>TV Serie</t>
  </si>
  <si>
    <t>Trolljäger</t>
  </si>
  <si>
    <t>Marseille</t>
  </si>
  <si>
    <t>Go Wild! - Mission Wildnis</t>
  </si>
  <si>
    <t>Sauveur Giordano</t>
  </si>
  <si>
    <t>L'histoire du samedi</t>
  </si>
  <si>
    <t>Brigade spéciale</t>
  </si>
  <si>
    <t>Les mercredis de la vie</t>
  </si>
  <si>
    <t>Le flic de Moscou</t>
  </si>
  <si>
    <t>Pif et Hercule</t>
  </si>
  <si>
    <t>In Arbeit</t>
  </si>
  <si>
    <t>Noch nicht ausgestrahlt</t>
  </si>
  <si>
    <t>Pets 2</t>
  </si>
  <si>
    <t>Suburbicon</t>
  </si>
  <si>
    <t>Pets</t>
  </si>
  <si>
    <t>Der fantastische Mr. Fox</t>
  </si>
  <si>
    <t>Der goldene Kompass</t>
  </si>
  <si>
    <t>Mr. Magoriums Wunderladen</t>
  </si>
  <si>
    <t>Held for a moment</t>
  </si>
  <si>
    <t>The Wes Anderson Collection: The Grand Budapest Hotel</t>
  </si>
  <si>
    <t>A Therapy</t>
  </si>
  <si>
    <t>Les baisers des autres</t>
  </si>
  <si>
    <t>Ne bougez plus!</t>
  </si>
  <si>
    <t>Bons baisers de Suzanne</t>
  </si>
  <si>
    <t>Quand je serai grand, mon père il sera policier</t>
  </si>
  <si>
    <t>Mr Heinz?!</t>
  </si>
  <si>
    <t>La Vienne dynamique</t>
  </si>
  <si>
    <t>Jour de fauche</t>
  </si>
  <si>
    <t>Départ en vacances</t>
  </si>
  <si>
    <t>Rossignol de mes amours</t>
  </si>
  <si>
    <t>Simon courage</t>
  </si>
  <si>
    <t>V.O.</t>
  </si>
  <si>
    <t>Adults in the Room</t>
  </si>
  <si>
    <t>Ataris Reise</t>
  </si>
  <si>
    <t>Dokumentarfilm</t>
  </si>
  <si>
    <t>12 Tage</t>
  </si>
  <si>
    <t>Les habitants</t>
  </si>
  <si>
    <t>Roman Polanski: A Film Memoir</t>
  </si>
  <si>
    <t>Ségo et Sarko sont dans un bateau…</t>
  </si>
  <si>
    <t>Home Sweet Home</t>
  </si>
  <si>
    <t>Valerian - Die Stadt der tausend Planeten</t>
  </si>
  <si>
    <t>Pinocchio</t>
  </si>
  <si>
    <t>The French Dispatch</t>
  </si>
  <si>
    <t>The Arrival</t>
  </si>
  <si>
    <t>Das Märchen der Märchen</t>
  </si>
  <si>
    <t>Unbroken</t>
  </si>
  <si>
    <t>Jaguar: Rendezvous</t>
  </si>
  <si>
    <t>Reality</t>
  </si>
  <si>
    <t>The Special Relationship</t>
  </si>
  <si>
    <t>Chanson d'amour</t>
  </si>
  <si>
    <t>Fernsehfilm</t>
  </si>
  <si>
    <t>Le pays des enfants perdus</t>
  </si>
  <si>
    <t>Virus au paradis</t>
  </si>
  <si>
    <t>Tous les chagrins se ressemblent</t>
  </si>
  <si>
    <t>Passage du bac</t>
  </si>
  <si>
    <t>Une autre femme</t>
  </si>
  <si>
    <t>Madame Sans-Gêne</t>
  </si>
  <si>
    <t>Campagnes</t>
  </si>
  <si>
    <t>Der Traum der Rinaldis</t>
  </si>
  <si>
    <t>N'oublie pas que tu m'aimes</t>
  </si>
  <si>
    <t>Juliette</t>
  </si>
  <si>
    <t>Retour à Fonteyne</t>
  </si>
  <si>
    <t>Un petit grain de folie</t>
  </si>
  <si>
    <t>La voisine</t>
  </si>
  <si>
    <t>Tout ce qui brille</t>
  </si>
  <si>
    <t>Yasmina, die Liebe und das Meer</t>
  </si>
  <si>
    <t>Le poteau d'Aldo</t>
  </si>
  <si>
    <t>Échappée belle</t>
  </si>
  <si>
    <t>Le fils de Paul</t>
  </si>
  <si>
    <t>Le paradis absolument</t>
  </si>
  <si>
    <t>J'aime pas qu'on m'aime</t>
  </si>
  <si>
    <t>Papa veut pas que je t'épouse</t>
  </si>
  <si>
    <t>Les beaux jours (als Alexandre Desplats)</t>
  </si>
  <si>
    <t>Michel Audiard et le mystère du triangle des Bermudes</t>
  </si>
  <si>
    <t>Paroles d'étoiles</t>
  </si>
  <si>
    <t>Lushins Verteidigung</t>
  </si>
  <si>
    <t>Kinofilm</t>
  </si>
  <si>
    <t>Ausgezeichnet</t>
  </si>
  <si>
    <t>Silberner Bär </t>
  </si>
  <si>
    <t>Was</t>
  </si>
  <si>
    <t>Wann</t>
  </si>
  <si>
    <t>Film</t>
  </si>
  <si>
    <t>Der Wilde Schlag meines Herzens</t>
  </si>
  <si>
    <t>Das Mädchen mit dem Perlenohrring</t>
  </si>
  <si>
    <t>Coco Chanel</t>
  </si>
  <si>
    <t>The King’s Speech</t>
  </si>
  <si>
    <t>Der bunte Schleier und Die Queen</t>
  </si>
  <si>
    <t>Die Queen und Der bunte Schleier</t>
  </si>
  <si>
    <t>Der Goldene Kompass</t>
  </si>
  <si>
    <t>Filmkomponist des Jahres für Der seltsame Fall des Benjamin Button, Chérie, Coco Chanel und Largo Winch sowie Beste Filmmusik des Jahres für Der seltsame Fall des Benjamin Button</t>
  </si>
  <si>
    <t>Filmkomponist des Jahres für Julie &amp; Julia, Der fantastische Mr. Fox, New Moon – Bis(s) zur Mittagsstunde und Der Ghostwriter sowie Beste Filmmusik des Jahres für Der fantastische Mr. Fox</t>
  </si>
  <si>
    <t>Philomena</t>
  </si>
  <si>
    <t>The Imitation Game – Ein streng geheimes Leben</t>
  </si>
  <si>
    <t>Shape of Water – Das Flüstern des Wassers</t>
  </si>
  <si>
    <t>Isle of Dogs – Ataris Reise</t>
  </si>
  <si>
    <t>The Imitation Game</t>
  </si>
  <si>
    <t>Isle of Dogs - Ataris Reise</t>
  </si>
  <si>
    <t>Das Leben: Eine Lüge</t>
  </si>
  <si>
    <t>Lippenbekenntnisse</t>
  </si>
  <si>
    <t>Der Feind in den eigenen Reihen – Intimate Enemies</t>
  </si>
  <si>
    <t>Youtube</t>
  </si>
  <si>
    <t>https://youtu.be/UY8eMgEIfJY</t>
  </si>
  <si>
    <t>https://youtu.be/-RuIZj-8vhc</t>
  </si>
  <si>
    <t>https://youtu.be/eIPFlf1P5vE</t>
  </si>
  <si>
    <t>https://youtu.be/Jh4PbrBIWrw</t>
  </si>
  <si>
    <t>https://youtu.be/qjbAXxQuEKw</t>
  </si>
  <si>
    <t>https://youtu.be/hHJ9qYamsYI</t>
  </si>
  <si>
    <t>https://youtu.be/HA8dDFFvOUw</t>
  </si>
  <si>
    <t>https://youtu.be/vOmbKTFn3Kw</t>
  </si>
  <si>
    <t>https://youtu.be/S2xuRebjfbk</t>
  </si>
  <si>
    <t>https://youtu.be/hG95VBHcLOQ</t>
  </si>
  <si>
    <t>https://youtu.be/nP49P9qa4s0</t>
  </si>
  <si>
    <t>https://youtu.be/jfHsv8we_r4</t>
  </si>
  <si>
    <t>https://youtu.be/TKxQ1jCREW4</t>
  </si>
  <si>
    <t>https://youtu.be/SXgYyR1-_0g</t>
  </si>
  <si>
    <t>https://youtu.be/-DS1qM12dg0</t>
  </si>
  <si>
    <t>https://youtu.be/0hkR4KUfy_E</t>
  </si>
  <si>
    <t>https://youtu.be/go3J2bDKkIs</t>
  </si>
  <si>
    <t>https://youtu.be/68mHrPjNv24</t>
  </si>
  <si>
    <t>https://youtu.be/9Tr9x_MJFrA</t>
  </si>
  <si>
    <t>https://youtu.be/rOXUXB_FQvQ</t>
  </si>
  <si>
    <t>https://youtu.be/WEVpnyAksBs</t>
  </si>
  <si>
    <t>https://youtu.be/eLyMR3UKltQ</t>
  </si>
  <si>
    <t>https://youtu.be/JvnKaD_CSQk</t>
  </si>
  <si>
    <t>https://youtu.be/OAxMO1PU4Jc</t>
  </si>
  <si>
    <t>https://youtu.be/MDYZb99afb0</t>
  </si>
  <si>
    <t>https://m.media-amazon.com/images/M/MV5BYmZiMWE1MjgtMDY0Mi00ZTc1LWIyMDAtMjA1NGU0OTQ5MjFkXkEyXkFqcGdeQXVyNzA2NjE1NjA@._V1_UY209_CR8,0,140,209_AL_.jpg</t>
  </si>
  <si>
    <t>https://m.media-amazon.com/images/M/MV5BY2QzYTQyYzItMzAwYi00YjZlLThjNTUtNzMyMDdkYzJiNWM4XkEyXkFqcGdeQXVyMTkxNjUyNQ@@._V1_UY209_CR0,0,140,209_AL_.jpg</t>
  </si>
  <si>
    <t>https://m.media-amazon.com/images/M/MV5BMzdlMWQzZmItMDA5Ny00MGFjLTk0MDAtYjgzMmMyNTEwMzdhXkEyXkFqcGdeQXVyODQzNTE3ODc@._V1_UX140_CR0,0,140,209_AL_.jpg</t>
  </si>
  <si>
    <t>https://m.media-amazon.com/images/M/MV5BMmZlZmQ1N2YtMDhlOS00NmIxLTgyZTktNDI2YzRkMmE1OTIyXkEyXkFqcGdeQXVyNjAyNTIzOTM@._V1_UY209_CR7,0,140,209_AL_.jpg</t>
  </si>
  <si>
    <t>https://m.media-amazon.com/images/M/MV5BNjQ0MDg4Y2ItMjI2NS00NzQ5LWI5MDUtNTJkMmRkYmRkMzM0XkEyXkFqcGdeQXVyODc0OTEyNDU@._V1_UY209_CR8,0,140,209_AL_.jpg</t>
  </si>
  <si>
    <t>https://m.media-amazon.com/images/M/MV5BMjMzNjRkYmMtZTBjMC00YmNjLTliYTctM2JkMGUyOTYwZTYxXkEyXkFqcGdeQXVyNDg4MjkzNDk@._V1_UY209_CR9,0,140,209_AL_.jpg</t>
  </si>
  <si>
    <t>https://m.media-amazon.com/images/M/MV5BOWRiNTY2MjEtMDg0MS00MjZhLWJlN2QtYWUxZWRjYzc2ZjQ5XkEyXkFqcGdeQXVyNjEyNzkyNTA@._V1_UY209_CR69,0,140,209_AL_.jpg</t>
  </si>
  <si>
    <t>https://m.media-amazon.com/images/M/MV5BOTY5MzcxODctOWJiOC00ZjU0LWE5ZDctNDc5MWI2YzdjYzFlXkEyXkFqcGdeQXVyMTAxMDg3NTEw._V1_UY209_CR130,0,140,209_AL_.jpg</t>
  </si>
  <si>
    <t>https://m.media-amazon.com/images/M/MV5BMTYyOTUwNjAxM15BMl5BanBnXkFtZTgwODcyMzE0NDM@._V1_UX140_CR0,0,140,209_AL_.jpg</t>
  </si>
  <si>
    <t>https://m.media-amazon.com/images/M/MV5BOTZmNTI1MzMtMGY0ZS00YTRlLWI4OTktYzE3YzZjZjJkNDVlXkEyXkFqcGdeQXVyMjM4NTM5NDY@._V1_UY209_CR0,0,140,209_AL_.jpg</t>
  </si>
  <si>
    <t>https://m.media-amazon.com/images/M/MV5BYzE1YjI2MjctZTY2Zi00NDBhLWIzYmMtNzMzMDgwZjE4MzUxXkEyXkFqcGdeQXVyNTI4MzE4MDU@._V1_UY209_CR0,0,140,209_AL_.jpg</t>
  </si>
  <si>
    <t>https://m.media-amazon.com/images/M/MV5BMTc4MTIxMWEtMmRhNC00NWEzLWExMWQtMmNiNjA1MDlkZjk3XkEyXkFqcGdeQXVyMTkxODQ4MDg@._V1_UY209_CR0,0,140,209_AL_.jpg</t>
  </si>
  <si>
    <t>https://m.media-amazon.com/images/M/MV5BMGU2NGNlMTQtZTA5Yi00NjU5LTlmZGMtMGNlNGJkYmU1NDc0XkEyXkFqcGdeQXVyNTI5NjIyMw@@._V1_UY209_CR0,0,140,209_AL_.jpg</t>
  </si>
  <si>
    <t>https://m.media-amazon.com/images/M/MV5BNjM2NDQ0ODM0OF5BMl5BanBnXkFtZTgwNDI3NTE0NDM@._V1_UY209_CR9,0,140,209_AL_.jpg</t>
  </si>
  <si>
    <t>https://m.media-amazon.com/images/M/MV5BNzEzZTZjYzktNzYyNC00YzZhLWFlYjQtMjQyY2QxMDllMTc2XkEyXkFqcGdeQXVyNjEwMzk3OTg@._V1_UY209_CR8,0,140,209_AL_.jpg</t>
  </si>
  <si>
    <t>https://m.media-amazon.com/images/M/MV5BZDAzYTM5NGEtYzQ4My00MzBkLWFiMzctY2VlYWY4NTM2Y2Q5XkEyXkFqcGdeQXVyMDA3OTA4MQ@@._V1_UY209_CR116,0,140,209_AL_.jpg</t>
  </si>
  <si>
    <t>https://m.media-amazon.com/images/M/MV5BYzMzODNhOGEtNWI4ZS00Y2IwLWJiYTAtY2MzMmViZjc0ZWZlXkEyXkFqcGdeQXVyMDA3OTA4MQ@@._V1_UY209_CR116,0,140,209_AL_.jpg</t>
  </si>
  <si>
    <t>https://m.media-amazon.com/images/M/MV5BNGNiNWQ5M2MtNGI0OC00MDA2LWI5NzEtMmZiYjVjMDEyOWYzXkEyXkFqcGdeQXVyMjM4NTM5NDY@._V1_UY209_CR0,0,140,209_AL_.jpg</t>
  </si>
  <si>
    <t>https://m.media-amazon.com/images/M/MV5BMTkxMDAxNDUyNV5BMl5BanBnXkFtZTgwOTc3MzcxMjI@._V1_UY209_CR0,0,140,209_AL_.jpg</t>
  </si>
  <si>
    <t>https://m.media-amazon.com/images/M/MV5BMjI3MDMxNzcxNl5BMl5BanBnXkFtZTgwODc4MzkwOTE@._V1_UX140_CR0,0,140,209_AL_.jpg</t>
  </si>
  <si>
    <t>https://m.media-amazon.com/images/M/MV5BMDE2MzMxNzQtYzVkYi00MmZmLThhZDgtMDdjZWRiNWI3ZWRjXkEyXkFqcGdeQXVyODE5NzE3OTE@._V1_UX140_CR0,0,140,209_AL_.jpg</t>
  </si>
  <si>
    <t>https://m.media-amazon.com/images/M/MV5BZGM5YzIxZWMtNzcwZC00YmU4LWE1M2UtZmZhYWZhNWEwODE5XkEyXkFqcGdeQXVyNDkzNTM2ODg@._V1_UY209_CR7,0,140,209_AL_.jpg</t>
  </si>
  <si>
    <t>https://m.media-amazon.com/images/M/MV5BMTdhYjQ3YjUtNDMwYS00ZjRlLTljNjItODYwYzVjY2UzMDM1XkEyXkFqcGdeQXVyNTQ2NDYyNzY@._V1_UY209_CR7,0,140,209_AL_.jpg</t>
  </si>
  <si>
    <t>https://m.media-amazon.com/images/M/MV5BMzMwNTg5NDUtODJkYS00ZjgzLThmMjItYTZhOWFhNjM0YTEyXkEyXkFqcGdeQXVyMTMxODk2OTU@._V1_UY209_CR7,0,140,209_AL_.jpg</t>
  </si>
  <si>
    <t>https://m.media-amazon.com/images/M/MV5BZDU4OGVkMjQtYzQzNy00N2RmLTkyYmItMDZiNjc3M2M0YzQzXkEyXkFqcGdeQXVyMjk4NTQ3Mg@@._V1_UY209_CR146,0,140,209_AL_.jpg</t>
  </si>
  <si>
    <t>https://m.media-amazon.com/images/M/MV5BZDNhZWM0NDQtYjRmOS00YjkyLWIyM2EtOTUxZjczY2U1MTc0XkEyXkFqcGdeQXVyODU0NzU5ODA@._V1_UX140_CR0,0,140,209_AL_.jpg</t>
  </si>
  <si>
    <t>https://m.media-amazon.com/images/M/MV5BMjIzMzA1OTkzNV5BMl5BanBnXkFtZTgwODE3MjM4NzE@._V1_UX140_CR0,0,140,209_AL_.jpg</t>
  </si>
  <si>
    <t>https://m.media-amazon.com/images/M/MV5BNjEwNzMzMDI4Nl5BMl5BanBnXkFtZTgwMTM2ODkwMTI@._V1_UY209_CR0,0,140,209_AL_.jpg</t>
  </si>
  <si>
    <t>https://m.media-amazon.com/images/M/MV5BNTI1NzQzMjgxOF5BMl5BanBnXkFtZTgwOTY1OTY2OTE@._V1_UY209_CR0,0,140,209_AL_.jpg</t>
  </si>
  <si>
    <t>https://m.media-amazon.com/images/M/MV5BN2Y2YWE0ZDMtNzQzMC00MDI0LThlZjAtMWY4YjZlYWM2OWFjXkEyXkFqcGdeQXVyMTMxODk2OTU@._V1_UY209_CR0,0,140,209_AL_.jpg</t>
  </si>
  <si>
    <t>https://m.media-amazon.com/images/M/MV5BMjA0Mzc4MjMxMl5BMl5BanBnXkFtZTgwODIwNTQxODE@._V1_UY209_CR1,0,140,209_AL_.jpg</t>
  </si>
  <si>
    <t>https://m.media-amazon.com/images/M/MV5BMjMyMDc3MzUxNl5BMl5BanBnXkFtZTgwOTQ0NjIzMDI@._V1_UX140_CR0,0,140,209_AL_.jpg</t>
  </si>
  <si>
    <t>https://m.media-amazon.com/images/M/MV5BMjEyZmQxOGYtYTk3MS00Njg3LWEwOWItYjFhYzVkNDhkMzYxXkEyXkFqcGdeQXVyMzA3Njg4MzY@._V1_UY209_CR0,0,140,209_AL_.jpg</t>
  </si>
  <si>
    <t>https://m.media-amazon.com/images/M/MV5BMjMwNTY0NjU5N15BMl5BanBnXkFtZTgwODYyNzc3NDM@._V1_UY209_CR1,0,140,209_AL_.jpg</t>
  </si>
  <si>
    <t>https://m.media-amazon.com/images/M/MV5BYzdjZGI3YjItMjM0OS00MGM3LWJhMGUtZGIxM2ZjODBmMTZkXkEyXkFqcGdeQXVyMTMxODk2OTU@._V1_UX140_CR0,0,140,209_AL_.jpg</t>
  </si>
  <si>
    <t>https://m.media-amazon.com/images/M/MV5BYzVlYmE1ZTUtMDZkNC00YTQ2LTg1YjgtYmUzNzE0ZDFlMmE5XkEyXkFqcGdeQXVyMTY5Nzc4MDY@._V1_UY209_CR7,0,140,209_AL_.jpg</t>
  </si>
  <si>
    <t>https://m.media-amazon.com/images/M/MV5BYjdiMjcyNDAtOTgzYS00MjJiLTkyYjItY2Y1YzU3YjE5NmQ2XkEyXkFqcGdeQXVyMTY2NTQ3ODc@._V1_UY209_CR0,0,140,209_AL_.jpg</t>
  </si>
  <si>
    <t>https://m.media-amazon.com/images/M/MV5BMDgzOWM4ZWMtYjAzMC00Yjc2LWJlZDctMjg2ZGFlZjk3YWYzXkEyXkFqcGdeQXVyMTQ3Njg3MQ@@._V1_UY209_CR93,0,140,209_AL_.jpg</t>
  </si>
  <si>
    <t>https://m.media-amazon.com/images/M/MV5BMmY2OTI5ZGQtYjcwNC00ZGRlLWFlODEtOTg3ZDk0OTA3YTgxXkEyXkFqcGdeQXVyMTY1MTcxMzc@._V1_UY209_CR116,0,140,209_AL_.jpg</t>
  </si>
  <si>
    <t>https://m.media-amazon.com/images/M/MV5BMjY5ZjI0ODYtYTU2MC00YjE5LTkxNWYtMTJjODQ1Y2MwZWQxXkEyXkFqcGdeQXVyMTY4Mjk3MzE@._V1_UY209_CR7,0,140,209_AL_.jpg</t>
  </si>
  <si>
    <t>https://m.media-amazon.com/images/M/MV5BMzU5ODU2MTQtZWJiMy00YTU3LWE5ZGMtMDQwZTQxNjk0OWE4XkEyXkFqcGdeQXVyMjEyOTQwMTg@._V1_UX140_CR0,0,140,209_AL_.jpg</t>
  </si>
  <si>
    <t>https://m.media-amazon.com/images/M/MV5BNWU3Y2Q5MGItZGExMC00NDY2LWJmZGMtYzQ1YTQ4MzQyNjAzL2ltYWdlXkEyXkFqcGdeQXVyMzg4MDY0MDQ@._V1_UY209_CR3,0,140,209_AL_.jpg</t>
  </si>
  <si>
    <t>https://m.media-amazon.com/images/M/MV5BYmNjZmNiMjctNTZmNi00ODE5LTlmMzktZmE3OWFhMzM4YWZlXkEyXkFqcGdeQXVyNTkzNzE4Njk@._V1_UY209_CR116,0,140,209_AL_.jpg</t>
  </si>
  <si>
    <t>https://m.media-amazon.com/images/M/MV5BNTY0NjcxMzEtZTUxMC00ZDdiLWJiMDYtYTgxY2U0ZjlkMTlmL2ltYWdlL2ltYWdlXkEyXkFqcGdeQXVyNjEwMzMzODI@._V1_UY209_CR116,0,140,209_AL_.jpg</t>
  </si>
  <si>
    <t>https://m.media-amazon.com/images/M/MV5BNzcxMjkzMTktMjI4Ny00MDE2LTkwYWUtMTUwYTRlMWRhNDM1XkEyXkFqcGdeQXVyNzgwMTU0MDE@._V1_UY209_CR87,0,140,209_AL_.jpg</t>
  </si>
  <si>
    <t>https://m.media-amazon.com/images/M/MV5BMTRmODVhNWUtZThiNi00NmI1LTg2ZDktMWUzZjI0YmRjZWU5XkEyXkFqcGdeQXVyNzgwMTU0MDE@._V1_UY209_CR87,0,140,209_AL_.jpg</t>
  </si>
  <si>
    <t>https://m.media-amazon.com/images/M/MV5BMjA0NjA4NjE2Nl5BMl5BanBnXkFtZTgwNzIxNTY2NjE@._V1_UY209_CR0,0,140,209_AL_.jpg</t>
  </si>
  <si>
    <t>https://m.media-amazon.com/images/M/MV5BMjA2NDYxOTI1MV5BMl5BanBnXkFtZTgwOTgyMjU3NjE@._V1_UY209_CR0,0,140,209_AL_.jpg</t>
  </si>
  <si>
    <t>https://m.media-amazon.com/images/M/MV5BOTBiY2U2MTctNTA4Ni00MDBkLTk5MjItZWUxNDk5YmFlMTliL2ltYWdlXkEyXkFqcGdeQXVyNDUxNjc5NjY@._V1_UY209_CR3,0,140,209_AL_.jpg</t>
  </si>
  <si>
    <t>https://m.media-amazon.com/images/M/MV5BNzQ2OTg1MTYwOF5BMl5BanBnXkFtZTgwMTY3MDA2NjE@._V1_UY209_CR2,0,140,209_AL_.jpg</t>
  </si>
  <si>
    <t>https://m.media-amazon.com/images/M/MV5BMTlhZmJlNTMtN2E5OS00NzljLWE3YzktZTYxZjFjZDg5YWRmXkEyXkFqcGdeQXVyNTA1NDcyMzM@._V1_UY209_CR8,0,140,209_AL_.jpg</t>
  </si>
  <si>
    <t>https://m.media-amazon.com/images/M/MV5BODczMTdlYzktYmU0MC00OWZlLTkxZGQtYjIyNWVjMDI1Y2VkXkEyXkFqcGdeQXVyNDA1MjIxMA@@._V1_UY209_CR4,0,140,209_AL_.jpg</t>
  </si>
  <si>
    <t>https://m.media-amazon.com/images/M/MV5BMDAyMjQyNzktOWFjYy00NTdlLTlmNDItOWRmMjljMzE3ZDI1XkEyXkFqcGdeQXVyMTMxODk2OTU@._V1_UY209_CR7,0,140,209_AL_.jpg</t>
  </si>
  <si>
    <t>https://m.media-amazon.com/images/M/MV5BMDY5MWFjODAtZTVmYy00YTcwLTk5Y2MtNTYxY2I1YTc1OWIyXkEyXkFqcGdeQXVyNTM3MDMyMDQ@._V1_UY209_CR8,0,140,209_AL_.jpg</t>
  </si>
  <si>
    <t>https://m.media-amazon.com/images/M/MV5BOWZlMmM5NzEtMmU3Yi00YmMxLThjNTMtYWRhNjdiNTc4M2ZkXkEyXkFqcGdeQXVyNDc3MjczNzg@._V1_UY209_CR3,0,140,209_AL_.jpg</t>
  </si>
  <si>
    <t>https://m.media-amazon.com/images/M/MV5BNTI4NGMzYzItOWUyOC00MDAwLTk3ZDQtZjAwYzQ3ZDYyZDQ3XkEyXkFqcGdeQXVyNzczODgzMDA@._V1_UY209_CR19,0,140,209_AL_.jpg</t>
  </si>
  <si>
    <t>https://m.media-amazon.com/images/M/MV5BMDliZWM4NWEtYzA0Mi00NmFhLTg2NjQtMTlkN2RhMzVlZTJjXkEyXkFqcGdeQXVyNTYxNjk2NTg@._V1_UX140_CR0,0,140,209_AL_.jpg</t>
  </si>
  <si>
    <t>https://m.media-amazon.com/images/M/MV5BMzM5NjUxOTEyMl5BMl5BanBnXkFtZTgwNjEyMDM0MDE@._V1_UY209_CR0,0,140,209_AL_.jpg</t>
  </si>
  <si>
    <t>https://m.media-amazon.com/images/M/MV5BOTgwMzFiMWYtZDhlNS00ODNkLWJiODAtZDVhNzgyNzJhYjQ4L2ltYWdlXkEyXkFqcGdeQXVyNzEzOTYxNTQ@._V1_UY209_CR0,0,140,209_AL_.jpg</t>
  </si>
  <si>
    <t>https://m.media-amazon.com/images/M/MV5BMTY3ODg2OTgyOF5BMl5BanBnXkFtZTgwODk1OTAwMzE@._V1_UX140_CR0,0,140,209_AL_.jpg</t>
  </si>
  <si>
    <t>https://m.media-amazon.com/images/M/MV5BN2E4ZDgxN2YtZjExMS00MWE5LTg3NjQtNTkxMzJhOTA3MDQ4XkEyXkFqcGdeQXVyMTQxNzMzNDI@._V1_UY209_CR0,0,140,209_AL_.jpg</t>
  </si>
  <si>
    <t>https://m.media-amazon.com/images/M/MV5BMTczMjg3MzQ0NF5BMl5BanBnXkFtZTgwMDYyNzY4NDE@._V1_UY209_CR4,0,140,209_AL_.jpg</t>
  </si>
  <si>
    <t>https://m.media-amazon.com/images/M/MV5BMjMxMjk4NTM1M15BMl5BanBnXkFtZTgwNjg0MjQ3MDE@._V1_UY209_CR0,0,140,209_AL_.jpg</t>
  </si>
  <si>
    <t>https://m.media-amazon.com/images/M/MV5BZGZhMzQ4MmMtYjQ4Zi00NTg2LTkwNDItY2I4NzRlNmU3NjM5XkEyXkFqcGdeQXVyNDUzOTQ5MjY@._V1_UY209_CR0,0,140,209_AL_.jpg</t>
  </si>
  <si>
    <t>https://m.media-amazon.com/images/M/MV5BMTE4MTk5ZWQtN2E3YS00ZmQ5LTlhYzEtZDQ0NDQwZmQwNzBkXkEyXkFqcGdeQXVyNDU5OTMwNTE@._V1_UY209_CR4,0,140,209_AL_.jpg</t>
  </si>
  <si>
    <t>https://m.media-amazon.com/images/M/MV5BZmNiOTIzMmItNjFjOS00OTc5LWI3YTEtZjdkNzdkZDMwNWE3XkEyXkFqcGdeQXVyNDc3MjczNzg@._V1_UY209_CR3,0,140,209_AL_.jpg</t>
  </si>
  <si>
    <t>https://m.media-amazon.com/images/M/MV5BMmMwNTVhM2MtMTNjNi00MGU0LWEzOTAtYWRhNWU2MWQ2NGU5XkEyXkFqcGdeQXVyMDYyNTk1OA@@._V1_UY209_CR3,0,140,209_AL_.jpg</t>
  </si>
  <si>
    <t>https://m.media-amazon.com/images/M/MV5BMjM0ODgyOTM1Ml5BMl5BanBnXkFtZTgwMzI5ODM4MTE@._V1_UY209_CR0,0,140,209_AL_.jpg</t>
  </si>
  <si>
    <t>https://m.media-amazon.com/images/M/MV5BMjA5ODgyNzcxMV5BMl5BanBnXkFtZTgwMzkzOTYzMDE@._V1_UY209_CR0,0,140,209_AL_.jpg</t>
  </si>
  <si>
    <t>https://m.media-amazon.com/images/M/MV5BMjA0NjE1OTI0M15BMl5BanBnXkFtZTgwMDkyNTM3MDE@._V1_UY209_CR7,0,140,209_AL_.jpg</t>
  </si>
  <si>
    <t>https://m.media-amazon.com/images/M/MV5BMWY0OTQ4M2QtNTIxZS00Y2E2LWI1MGUtNzU1OGQ2MjQzZmUyXkEyXkFqcGdeQXVyNzQzNzQxNzI@._V1_UY209_CR7,0,140,209_AL_.jpg</t>
  </si>
  <si>
    <t>https://m.media-amazon.com/images/M/MV5BMTQzNDg1NzY2N15BMl5BanBnXkFtZTcwNDU1MDk5OA@@._V1_UY209_CR1,0,140,209_AL_.jpg</t>
  </si>
  <si>
    <t>https://m.media-amazon.com/images/M/MV5BMTQ4MzAzNjM0OF5BMl5BanBnXkFtZTgwMTY1MjE0MzE@._V1_UY209_CR8,0,140,209_AL_.jpg</t>
  </si>
  <si>
    <t>https://m.media-amazon.com/images/M/MV5BM2FhOGJiMDEtMjc1Ny00MzI3LTliMWItMWQ2YjFmNjI3Zjk3XkEyXkFqcGdeQXVyNTk1ODg5ODA@._V1_UY209_CR3,0,140,209_AL_.jpg</t>
  </si>
  <si>
    <t>https://m.media-amazon.com/images/M/MV5BMTM5MDY1NDkxOV5BMl5BanBnXkFtZTcwMjQ4NDE5OA@@._V1_UY209_CR9,0,140,209_AL_.jpg</t>
  </si>
  <si>
    <t xml:space="preserve"> https://m.media-amazon.com/images/G/01/imdb/images/nopicture/140x209/film-4001654135._CB466678728_.png</t>
  </si>
  <si>
    <t xml:space="preserve"> https://m.media-amazon.com/images/M/MV5BMTc1OTk1ODU3Nl5BMl5BanBnXkFtZTgwNTI4Njc3MjE@._V1_UY209_CR69,0,140,209_AL_.jpg</t>
  </si>
  <si>
    <t xml:space="preserve"> https://m.media-amazon.com/images/M/MV5BNzE3ODE5MzMyM15BMl5BanBnXkFtZTgwMTc0NjM0MjE@._V1_UY209_CR69,0,140,209_AL_.jpg</t>
  </si>
  <si>
    <t xml:space="preserve"> https://m.media-amazon.com/images/M/MV5BNzljNjY3MDYtYzc0Ni00YjU0LWIyNDUtNTE0ZDRiMGExMjZlXkEyXkFqcGdeQXVyMTMxODk2OTU@._V1_UY209_CR0,0,140,209_AL_.jpg</t>
  </si>
  <si>
    <t xml:space="preserve"> https://m.media-amazon.com/images/M/MV5BMTcyMzUyMzY1OF5BMl5BanBnXkFtZTcwNDQ4ODk1OA@@._V1_UY209_CR0,0,140,209_AL_.jpg</t>
  </si>
  <si>
    <t xml:space="preserve"> https://m.media-amazon.com/images/M/MV5BMTQ4OTUyNzcwN15BMl5BanBnXkFtZTcwMTQ1NDE3OA@@._V1_UY209_CR0,0,140,209_AL_.jpg</t>
  </si>
  <si>
    <t xml:space="preserve"> https://m.media-amazon.com/images/M/MV5BMzllMWI1ZDQtMmFhNS00NzJkLThmMTMtNzFmMmMyYjU3ZGVjXkEyXkFqcGdeQXVyMDI2NDg0NQ@@._V1_UY209_CR3,0,140,209_AL_.jpg</t>
  </si>
  <si>
    <t xml:space="preserve"> https://m.media-amazon.com/images/M/MV5BYTUwNTljNjYtMjFhZi00ZGE5LThmMWEtYzQ3YmY2ZWNiZTU1XkEyXkFqcGdeQXVyMTMxODk2OTU@._V1_UY209_CR0,0,140,209_AL_.jpg</t>
  </si>
  <si>
    <t xml:space="preserve"> https://m.media-amazon.com/images/M/MV5BMTkzMjgwMDg1M15BMl5BanBnXkFtZTcwMTgzNTI1OA@@._V1_UX140_CR0,0,140,209_AL_.jpg</t>
  </si>
  <si>
    <t xml:space="preserve"> https://m.media-amazon.com/images/M/MV5BMTY2MzUyMDAyNF5BMl5BanBnXkFtZTcwMDAyNDg2OA@@._V1_UY209_CR0,0,140,209_AL_.jpg</t>
  </si>
  <si>
    <t xml:space="preserve"> https://m.media-amazon.com/images/M/MV5BMzk3Nzg0NDA0Nl5BMl5BanBnXkFtZTcwMTg1MTUxOQ@@._V1_UY209_CR0,0,140,209_AL_.jpg</t>
  </si>
  <si>
    <t xml:space="preserve"> https://m.media-amazon.com/images/M/MV5BZmUzZTcxNWMtODYwOS00ZTk0LTg2NTktMzQzYzRiNzEwMDEyXkEyXkFqcGdeQXVyMzIzNDU1NTY@._V1_UY209_CR3,0,140,209_AL_.jpg</t>
  </si>
  <si>
    <t xml:space="preserve"> https://m.media-amazon.com/images/M/MV5BODY5OWQ0ZWYtN2Q3Ny00Y2RiLTgwYTUtMTYwMWYyNWFkODUzXkEyXkFqcGdeQXVyODAwMTU1MTE@._V1_UY209_CR4,0,140,209_AL_.jpg</t>
  </si>
  <si>
    <t xml:space="preserve"> https://m.media-amazon.com/images/M/MV5BMGE4MTc4ZDMtNmJiOS00YjI5LWFjYmItYzhmNWUzNmFlODY4XkEyXkFqcGdeQXVyNDc1MTkyMzY@._V1_UY209_CR7,0,140,209_AL_.jpg</t>
  </si>
  <si>
    <t xml:space="preserve"> https://m.media-amazon.com/images/M/MV5BZmYxOWUyZWQtMjFiNy00M2FlLWJlNTItOTY2OGRhNjFkOGZmXkEyXkFqcGdeQXVyMjQyNDE2NDI@._V1_UY209_CR75,0,140,209_AL_.jpg</t>
  </si>
  <si>
    <t xml:space="preserve"> https://m.media-amazon.com/images/M/MV5BYzI4MGRmMmQtYzVlZS00MmU2LTkxMDItOGFiOTZhNTk5NTU4XkEyXkFqcGdeQXVyMTU4MTE3NTQ@._V1_UY209_CR11,0,140,209_AL_.jpg</t>
  </si>
  <si>
    <t xml:space="preserve"> https://m.media-amazon.com/images/M/MV5BMjIyZGU4YzUtNDkzYi00ZDRhLTljYzctYTMxMDQ4M2E0Y2YxXkEyXkFqcGdeQXVyNTIzOTk5ODM@._V1_UX140_CR0,0,140,209_AL_.jpg</t>
  </si>
  <si>
    <t xml:space="preserve"> https://m.media-amazon.com/images/M/MV5BMTMwNjQ0NjMzN15BMl5BanBnXkFtZTcwNjMxMTkyNA@@._V1_UY209_CR1,0,140,209_AL_.jpg</t>
  </si>
  <si>
    <t xml:space="preserve"> https://m.media-amazon.com/images/M/MV5BNTU4MjkzNTY0OF5BMl5BanBnXkFtZTcwNDI5ODIxNg@@._V1_UY209_CR0,0,140,209_AL_.jpg</t>
  </si>
  <si>
    <t xml:space="preserve"> https://m.media-amazon.com/images/M/MV5BMTYzODYwOTIzOV5BMl5BanBnXkFtZTcwODE2NjAwNw@@._V1_UY209_CR0,0,140,209_AL_.jpg</t>
  </si>
  <si>
    <t xml:space="preserve"> https://m.media-amazon.com/images/M/MV5BOGE3ZWZkMTAtMjc4Ny00YTgyLTliZTQtOGVlNzNhZjU5NTkzXkEyXkFqcGdeQXVyNDkzNTM2ODg@._V1_UY209_CR6,0,140,209_AL_.jpg</t>
  </si>
  <si>
    <t xml:space="preserve"> https://m.media-amazon.com/images/M/MV5BMTUxNzYwMTE3NV5BMl5BanBnXkFtZTcwMDY2NzU4Ng@@._V1_UY209_CR0,0,140,209_AL_.jpg</t>
  </si>
  <si>
    <t xml:space="preserve"> https://m.media-amazon.com/images/M/MV5BMTc0MzcwMDcyOV5BMl5BanBnXkFtZTcwNTUwMjk1Ng@@._V1_UY209_CR0,0,140,209_AL_.jpg</t>
  </si>
  <si>
    <t xml:space="preserve"> https://m.media-amazon.com/images/M/MV5BNmQ0NzhjMDctMmVhMS00NTg0LWI0ZjMtMDJiNDIzOTJiYjcxXkEyXkFqcGdeQXVyODg3NDc1OTE@._V1_UX140_CR0,0,140,209_AL_.jpg</t>
  </si>
  <si>
    <t xml:space="preserve"> https://m.media-amazon.com/images/M/MV5BMTUyODMxODYwMV5BMl5BanBnXkFtZTcwMTg4MTU1NA@@._V1_UX140_CR0,0,140,209_AL_.jpg</t>
  </si>
  <si>
    <t xml:space="preserve"> https://m.media-amazon.com/images/M/MV5BNTMwNjg0NzU5NV5BMl5BanBnXkFtZTcwNDE1NjE2NA@@._V1_UY209_CR7,0,140,209_AL_.jpg</t>
  </si>
  <si>
    <t xml:space="preserve"> https://m.media-amazon.com/images/M/MV5BMTg5NjQ0ODgxNV5BMl5BanBnXkFtZTcwOTkyMjcxNQ@@._V1_UY209_CR7,0,140,209_AL_.jpg</t>
  </si>
  <si>
    <t xml:space="preserve"> https://m.media-amazon.com/images/M/MV5BMTM2NTE5MTcyOF5BMl5BanBnXkFtZTcwNjA1NzExNA@@._V1_UY209_CR0,0,140,209_AL_.jpg</t>
  </si>
  <si>
    <t xml:space="preserve"> https://m.media-amazon.com/images/M/MV5BMTU4ODIwMzcyMV5BMl5BanBnXkFtZTcwMTEwMjkwOA@@._V1_UY209_CR4,0,140,209_AL_.jpg</t>
  </si>
  <si>
    <t xml:space="preserve"> https://m.media-amazon.com/images/M/MV5BY2JkZmQzNmUtZWNiZi00MGFiLWEzOTctNGM5YzEzNzBhZGNlXkEyXkFqcGdeQXVyMzE3MTUyNjk@._V1_UX140_CR0,0,140,209_AL_.jpg</t>
  </si>
  <si>
    <t xml:space="preserve"> https://m.media-amazon.com/images/M/MV5BMjIwNjg0NTYzOF5BMl5BanBnXkFtZTcwMjExNDM5Ng@@._V1_UY209_CR4,0,140,209_AL_.jpg</t>
  </si>
  <si>
    <t xml:space="preserve"> https://m.media-amazon.com/images/M/MV5BOGIwNTZkNWQtODhhMC00MzUzLWE2ZTEtYzYyNGM5YzQ0NTc5XkEyXkFqcGdeQXVyNzQzNzQxNzI@._V1_UX140_CR0,0,140,209_AL_.jpg</t>
  </si>
  <si>
    <t xml:space="preserve"> https://m.media-amazon.com/images/M/MV5BODJhNDdlNmYtNTFjYS00NDI5LTgwMWMtN2EzYTY1MjAzNTY4XkEyXkFqcGdeQXVyMTA0MjU0Ng@@._V1_UY209_CR4,0,140,209_AL_.jpg</t>
  </si>
  <si>
    <t xml:space="preserve"> https://m.media-amazon.com/images/M/MV5BMTQ2OTE1Mjk0N15BMl5BanBnXkFtZTcwODE3MDAwNA@@._V1_UY209_CR0,0,140,209_AL_.jpg</t>
  </si>
  <si>
    <t xml:space="preserve"> https://m.media-amazon.com/images/M/MV5BMzU5MjEwMTg2Nl5BMl5BanBnXkFtZTcwNzM3MTYxNA@@._V1_UY209_CR1,0,140,209_AL_.jpg</t>
  </si>
  <si>
    <t xml:space="preserve"> https://m.media-amazon.com/images/M/MV5BNDMwNjAzNzYwOF5BMl5BanBnXkFtZTcwMDY5NzcyMw@@._V1_UY209_CR1,0,140,209_AL_.jpg</t>
  </si>
  <si>
    <t xml:space="preserve"> https://m.media-amazon.com/images/M/MV5BMTI3NzMwMzkyNV5BMl5BanBnXkFtZTcwODk4NjQxMw@@._V1_UY209_CR0,0,140,209_AL_.jpg</t>
  </si>
  <si>
    <t xml:space="preserve"> https://m.media-amazon.com/images/M/MV5BMjAyOTIyMjI0Nl5BMl5BanBnXkFtZTcwMzcyODE3Mw@@._V1_UY209_CR0,0,140,209_AL_.jpg</t>
  </si>
  <si>
    <t xml:space="preserve"> https://m.media-amazon.com/images/M/MV5BMTgxMDI0Mjg4Ml5BMl5BanBnXkFtZTcwMDI1OTM3Mw@@._V1_UY209_CR0,0,140,209_AL_.jpg</t>
  </si>
  <si>
    <t xml:space="preserve"> https://m.media-amazon.com/images/M/MV5BMTY4NDY4MDEyNF5BMl5BanBnXkFtZTcwMjcyOTkxMw@@._V1_UY209_CR4,0,140,209_AL_.jpg</t>
  </si>
  <si>
    <t xml:space="preserve"> https://m.media-amazon.com/images/M/MV5BODNlYTE0MTAtN2ViMi00NTY2LTljZTYtNzBmZGJjY2U5NDFhXkEyXkFqcGdeQXVyMTI4NTU4NDI@._V1_UY209_CR136,0,140,209_AL_.jpg</t>
  </si>
  <si>
    <t xml:space="preserve"> https://m.media-amazon.com/images/M/MV5BNThmMmQyNzItZDYwMy00NjNiLWI2ZDMtY2YzMTczOThjM2VmXkEyXkFqcGdeQXVyMjUyMjUzMw@@._V1_UY209_CR34,0,140,209_AL_.jpg</t>
  </si>
  <si>
    <t xml:space="preserve"> https://m.media-amazon.com/images/M/MV5BMTI3MjE3NDIxNF5BMl5BanBnXkFtZTcwODM3NTY5Mg@@._V1_UY209_CR0,0,140,209_AL_.jpg</t>
  </si>
  <si>
    <t xml:space="preserve"> https://m.media-amazon.com/images/M/MV5BOGUwYTU4NGEtNDM4MS00NDRjLTkwNmQtOTkwMWMyMjhmMjdlXkEyXkFqcGdeQXVyMTMxODk2OTU@._V1_UY209_CR0,0,140,209_AL_.jpg</t>
  </si>
  <si>
    <t xml:space="preserve"> https://m.media-amazon.com/images/M/MV5BMzA4NjA2NjI2NV5BMl5BanBnXkFtZTcwOTEzNzI2Mg@@._V1_UY209_CR0,0,140,209_AL_.jpg</t>
  </si>
  <si>
    <t xml:space="preserve"> https://m.media-amazon.com/images/M/MV5BMTUyMjQ1MTY5OV5BMl5BanBnXkFtZTcwNzY5NjExMw@@._V1_UY209_CR4,0,140,209_AL_.jpg</t>
  </si>
  <si>
    <t xml:space="preserve"> https://m.media-amazon.com/images/M/MV5BOTY4MzU1MzI1NV5BMl5BanBnXkFtZTcwOTY5Njc1Mg@@._V1_UY209_CR0,0,140,209_AL_.jpg</t>
  </si>
  <si>
    <t xml:space="preserve"> https://m.media-amazon.com/images/M/MV5BMTA0NjYzMzQxNzBeQTJeQWpwZ15BbWU3MDI2MDA0ODI@._V1_UY209_CR0,0,140,209_AL_.jpg</t>
  </si>
  <si>
    <t xml:space="preserve"> https://m.media-amazon.com/images/M/MV5BMTI0NzAyNTg0N15BMl5BanBnXkFtZTcwMTM3MTgyMg@@._V1_UY209_CR1,0,140,209_AL_.jpg</t>
  </si>
  <si>
    <t xml:space="preserve"> https://m.media-amazon.com/images/M/MV5BMjI0NjczNjQxMV5BMl5BanBnXkFtZTcwMDY1MDMzNA@@._V1_UY209_CR4,0,140,209_AL_.jpg</t>
  </si>
  <si>
    <t xml:space="preserve"> https://m.media-amazon.com/images/M/MV5BYzMzZTU2MjgtZjI1OS00NjdhLTgzNmItNGUzODVlMTg4NTcyXkEyXkFqcGdeQXVyMjc1NjIzOA@@._V1_UY209_CR10,0,140,209_AL_.jpg</t>
  </si>
  <si>
    <t xml:space="preserve"> https://m.media-amazon.com/images/M/MV5BNDg1ZWY0NTItOTFkMS00OWU3LWEwOTktYTAyMTE4NmI5MGFiXkEyXkFqcGdeQXVyNzQzNzQxNzI@._V1_UY209_CR9,0,140,209_AL_.jpg</t>
  </si>
  <si>
    <t xml:space="preserve"> https://m.media-amazon.com/images/M/MV5BNjQ0NTY2ODY2M15BMl5BanBnXkFtZTgwMjE4MzkxMDE@._V1_UY209_CR0,0,140,209_AL_.jpg</t>
  </si>
  <si>
    <t xml:space="preserve"> https://m.media-amazon.com/images/M/MV5BMjI2MTY4OTkwOV5BMl5BanBnXkFtZTcwNzg2NjM5Ng@@._V1_UY209_CR0,0,140,209_AL_.jpg</t>
  </si>
  <si>
    <t xml:space="preserve"> https://m.media-amazon.com/images/M/MV5BMTI1NzEzNzkzMV5BMl5BanBnXkFtZTcwNTU5MDQ4Mg@@._V1_UY209_CR4,0,140,209_AL_.jpg</t>
  </si>
  <si>
    <t xml:space="preserve"> https://m.media-amazon.com/images/M/MV5BMTg2NjkxOTI2N15BMl5BanBnXkFtZTcwOTM5MzYxMg@@._V1_UY209_CR12,0,140,209_AL_.jpg</t>
  </si>
  <si>
    <t xml:space="preserve"> https://m.media-amazon.com/images/M/MV5BMWVkNmE5NGEtZTUzOS00M2VmLTg4N2EtMDIyZmM2ZDIwNzI4XkEyXkFqcGdeQXVyMTY5MDEyMTU@._V1_UY209_CR0,0,140,209_AL_.jpg</t>
  </si>
  <si>
    <t xml:space="preserve"> https://m.media-amazon.com/images/M/MV5BMTM2NDkxMjQxMV5BMl5BanBnXkFtZTYwNTMxMDM4._V1_UY209_CR0,0,140,209_AL_.jpg</t>
  </si>
  <si>
    <t xml:space="preserve"> https://m.media-amazon.com/images/M/MV5BMTI3MDI5ODMyNl5BMl5BanBnXkFtZTcwMTM2MjA1MQ@@._V1_UY209_CR0,0,140,209_AL_.jpg</t>
  </si>
  <si>
    <t xml:space="preserve"> https://m.media-amazon.com/images/M/MV5BMTI4MzY1OTY3NF5BMl5BanBnXkFtZTYwNzU1Nzc4._V1_UY209_CR0,0,140,209_AL_.jpg</t>
  </si>
  <si>
    <t xml:space="preserve"> https://m.media-amazon.com/images/M/MV5BMzhiYzYzNTktNzk4My00MTNjLWE0NmEtZWNhNzU3MjFiZWNmXkEyXkFqcGdeQXVyNzgzODI1OTE@._V1_UY209_CR8,0,140,209_AL_.jpg</t>
  </si>
  <si>
    <t xml:space="preserve"> https://m.media-amazon.com/images/M/MV5BNGFjYTMxNWEtMTVkOC00OTcwLWE0ZjUtMzdhYWFiNmViOTc5XkEyXkFqcGdeQXVyMjExNjgyMTc@._V1_UY209_CR8,0,140,209_AL_.jpg</t>
  </si>
  <si>
    <t xml:space="preserve"> https://m.media-amazon.com/images/M/MV5BNThiYjkxMmItYThmMS00ZGM4LWJiZWEtNzdiMjdlMDg0NTkwXkEyXkFqcGdeQXVyMDYyNTk1OA@@._V1_UY209_CR3,0,140,209_AL_.jpg</t>
  </si>
  <si>
    <t xml:space="preserve"> https://m.media-amazon.com/images/M/MV5BNGJlYTNiMTQtMWM2ZC00Yjg4LTk1Y2ItM2E5YTU0MTRlYjU4XkEyXkFqcGdeQXVyMTM2Mzg4MA@@._V1_UY209_CR97,0,140,209_AL_.jpg</t>
  </si>
  <si>
    <t xml:space="preserve"> https://m.media-amazon.com/images/M/MV5BOTNhZTRmYTEtODY0Yy00NzA5LTg4MTUtOTg4ZGY1OTI5ZDgyXkEyXkFqcGdeQXVyNzI4MDMyMTU@._V1_UY209_CR8,0,140,209_AL_.jpg</t>
  </si>
  <si>
    <t xml:space="preserve"> https://m.media-amazon.com/images/M/MV5BNGI3ZGFhNGQtMGZiNi00YWY3LWFhZmYtYWVlN2I2OTQ4NGZiXkEyXkFqcGdeQXVyMTI4NTU4NDI@._V1_UY209_CR136,0,140,209_AL_.jpg</t>
  </si>
  <si>
    <t xml:space="preserve"> https://m.media-amazon.com/images/M/MV5BMTkwOTAyMTkwOV5BMl5BanBnXkFtZTYwMjY2MTM3._V1_UY209_CR0,0,140,209_AL_.jpg</t>
  </si>
  <si>
    <t xml:space="preserve"> https://m.media-amazon.com/images/M/MV5BMTQ3NTMxODg1Ml5BMl5BanBnXkFtZTcwMjEyMjczMQ@@._V1_UY209_CR0,0,140,209_AL_.jpg</t>
  </si>
  <si>
    <t xml:space="preserve"> https://m.media-amazon.com/images/M/MV5BMTMzODg4MjU4OF5BMl5BanBnXkFtZTYwNDAzNTU3._V1_UY209_CR0,0,140,209_AL_.jpg</t>
  </si>
  <si>
    <t xml:space="preserve"> https://m.media-amazon.com/images/M/MV5BZThjYmMyNGQtYjZhOC00Yzg4LThlNzItNWMyYmExYTIwZTg1XkEyXkFqcGdeQXVyNjU0NTI0Nw@@._V1_UY209_CR8,0,140,209_AL_.jpg</t>
  </si>
  <si>
    <t xml:space="preserve"> https://m.media-amazon.com/images/M/MV5BMTkzZWZkZDItYTMyOC00ZTkzLWFhNGMtYzk1NWUzODdjN2MxXkEyXkFqcGdeQXVyNzM1MDEyNjM@._V1_UY209_CR8,0,140,209_AL_.jpg</t>
  </si>
  <si>
    <t xml:space="preserve"> https://m.media-amazon.com/images/M/MV5BMTcxNjA0MTQ3MV5BMl5BanBnXkFtZTcwODgzMzA2Mg@@._V1_UY209_CR7,0,140,209_AL_.jpg</t>
  </si>
  <si>
    <t xml:space="preserve"> https://m.media-amazon.com/images/M/MV5BNjI5MTUwODAwOF5BMl5BanBnXkFtZTcwMDQyMDA5Ng@@._V1_UX140_CR0,0,140,209_AL_.jpg</t>
  </si>
  <si>
    <t xml:space="preserve"> https://m.media-amazon.com/images/M/MV5BOTc0Mjg0ZTAtMDNhYS00NjBkLWE1MGMtM2ZhYmIyN2JiN2QzXkEyXkFqcGdeQXVyNTI3NTM4MTA@._V1_UY209_CR8,0,140,209_AL_.jpg</t>
  </si>
  <si>
    <t xml:space="preserve"> https://m.media-amazon.com/images/M/MV5BNmE3NTEzODUtMTJjMC00ODk3LTk4MzMtNmY5Mjg4M2M4OThhXkEyXkFqcGdeQXVyNTIzOTk5ODM@._V1_UX140_CR0,0,140,209_AL_.jpg</t>
  </si>
  <si>
    <t xml:space="preserve"> https://m.media-amazon.com/images/M/MV5BMjA2MTQwMTg0N15BMl5BanBnXkFtZTcwOTE5NjEzMQ@@._V1_UY209_CR1,0,140,209_AL_.jpg</t>
  </si>
  <si>
    <t xml:space="preserve"> https://m.media-amazon.com/images/M/MV5BZDI3OTdhOTAtZWIxOC00MDYxLTkxN2QtYjg3ODdlOTA4MGM1XkEyXkFqcGdeQXVyMTQxNzMzNDI@._V1_UY209_CR0,0,140,209_AL_.jpg</t>
  </si>
  <si>
    <t xml:space="preserve"> https://m.media-amazon.com/images/M/MV5BZTM2MGFmMjctM2EyNi00MmI4LTkyYjItMDhjZWQ4MjUyNGJhXkEyXkFqcGdeQXVyMTQxNzMzNDI@._V1_UY209_CR0,0,140,209_AL_.jpg</t>
  </si>
  <si>
    <t xml:space="preserve"> https://m.media-amazon.com/images/M/MV5BMTIyODM2MzUzM15BMl5BanBnXkFtZTcwMDQ4MzgyMQ@@._V1_UY209_CR0,0,140,209_AL_.jpg</t>
  </si>
  <si>
    <t xml:space="preserve"> https://m.media-amazon.com/images/M/MV5BMjA5NzM5OTcxMF5BMl5BanBnXkFtZTcwMTExMjAzMQ@@._V1_UY209_CR0,0,140,209_AL_.jpg</t>
  </si>
  <si>
    <t xml:space="preserve"> https://m.media-amazon.com/images/M/MV5BMjMzOTQ2NTc1N15BMl5BanBnXkFtZTgwMDIxMDA2MDE@._V1_UY209_CR7,0,140,209_AL_.jpg</t>
  </si>
  <si>
    <t xml:space="preserve"> https://m.media-amazon.com/images/M/MV5BYzNjNWUyNjMtYWEzNi00MTg3LThkOWYtZTlkZGY1YWM3Mjk2XkEyXkFqcGdeQXVyNzEyMDU1MzU@._V1_UY209_CR8,0,140,209_AL_.jpg</t>
  </si>
  <si>
    <t xml:space="preserve"> https://m.media-amazon.com/images/M/MV5BNzUzNzI4MzU4NV5BMl5BanBnXkFtZTcwMjcxMzcyMQ@@._V1_UY209_CR0,0,140,209_AL_.jpg</t>
  </si>
  <si>
    <t xml:space="preserve"> https://m.media-amazon.com/images/M/MV5BM2MxODBjZDUtNWNiNS00NzZjLWJjYWItYmM0NmY1MzY4MzhmXkEyXkFqcGdeQXVyNjk1Njg5NTA@._V1_UX140_CR0,0,140,209_AL_.jpg</t>
  </si>
  <si>
    <t xml:space="preserve"> https://m.media-amazon.com/images/M/MV5BZjg0ZGFhZjQtOGMwZC00MDNmLTk2MTUtNGIyNjE4YjIyOGQ4XkEyXkFqcGdeQXVyODIyOTEyMzY@._V1_UY209_CR3,0,140,209_AL_.jpg</t>
  </si>
  <si>
    <t xml:space="preserve"> https://m.media-amazon.com/images/M/MV5BMTIwMmNlYTctM2Q2YS00MTBmLWEzZWUtNjkwYmZhMmIzZjZiXkEyXkFqcGdeQXVyMTM2Mzg4MA@@._V1_UY209_CR100,0,140,209_AL_.jpg</t>
  </si>
  <si>
    <t xml:space="preserve"> https://m.media-amazon.com/images/M/MV5BYmIwZDQwNWUtZGViYy00NTE3LTkzMTItNzExNzUzZWFlY2RmXkEyXkFqcGdeQXVyMjQzMzQzODY@._V1_UY209_CR9,0,140,209_AL_.jpg</t>
  </si>
  <si>
    <t xml:space="preserve"> https://m.media-amazon.com/images/M/MV5BOTU3NTg5NDYtNWNkMC00ODZiLTljZjQtNjZhNjlhNjZiNDBlXkEyXkFqcGdeQXVyMTQxNzMzNDI@._V1_UY209_CR0,0,140,209_AL_.jpg</t>
  </si>
  <si>
    <t xml:space="preserve"> https://m.media-amazon.com/images/M/MV5BYTRhYWQ0Y2MtMTJhZS00ZTk0LTk0YzgtNTI3ZDJmY2E0ZDUyXkEyXkFqcGdeQXVyMjQ2MTk1OTE@._V1_UY209_CR8,0,140,209_AL_.jpg</t>
  </si>
  <si>
    <t xml:space="preserve"> https://m.media-amazon.com/images/M/MV5BMTM2MzQzMzc2M15BMl5BanBnXkFtZTcwNjM1NTQyMQ@@._V1_UY209_CR2,0,140,209_AL_.jpg</t>
  </si>
  <si>
    <t xml:space="preserve"> https://m.media-amazon.com/images/M/MV5BMTQzMTUxNDQ3NF5BMl5BanBnXkFtZTgwMDkxMDI2MTE@._V1_UY209_CR8,0,140,209_AL_.jpg</t>
  </si>
  <si>
    <t xml:space="preserve"> https://m.media-amazon.com/images/M/MV5BNTAwNTg4MDEzMF5BMl5BanBnXkFtZTcwMjE2MDcyMQ@@._V1_UY209_CR3,0,140,209_AL_.jpg</t>
  </si>
  <si>
    <t xml:space="preserve"> https://m.media-amazon.com/images/M/MV5BNzQwZTZlYjctNGZmMC00MjVlLWIyN2UtNDhkOGY5NzIwNmExXkEyXkFqcGdeQXVyNjExODE1MDc@._V1_UY209_CR8,0,140,209_AL_.jpg</t>
  </si>
  <si>
    <t xml:space="preserve"> https://m.media-amazon.com/images/M/MV5BNDRmYmY3NzctOGQwNS00NGMwLWIyOWMtMjYwMGMwY2U5Y2M5XkEyXkFqcGdeQXVyNzEyMDU1MzU@._V1_UY209_CR8,0,140,209_AL_.jpg</t>
  </si>
  <si>
    <t xml:space="preserve"> https://m.media-amazon.com/images/M/MV5BMjlkYWZhZjgtZTQwMi00ZDk1LTkxNDEtNDNhZmUxNGZlZTIyXkEyXkFqcGdeQXVyNzMzMjU5NDY@._V1_UY209_CR12,0,140,209_AL_.jpg</t>
  </si>
  <si>
    <t xml:space="preserve"> https://m.media-amazon.com/images/M/MV5BMzkxMjI4MjYtNjYzMC00ZTE1LWJlNjAtNWIyYzU3Njc3ODRiXkEyXkFqcGdeQXVyMTQxNzMzNDI@._V1_UY209_CR2,0,140,209_AL_.jpg</t>
  </si>
  <si>
    <t xml:space="preserve"> https://m.media-amazon.com/images/M/MV5BMmI4M2U5ZmMtZmQ1OS00MDNhLWJjY2UtNzIwNjZkZDRjMTFlXkEyXkFqcGdeQXVyNzgzODI1OTE@._V1_UY209_CR8,0,140,209_AL_.jpg</t>
  </si>
  <si>
    <t xml:space="preserve"> https://m.media-amazon.com/images/M/MV5BMTNjZTE3NGQtZWNlZC00MzgzLWFmZjgtM2JhZDUyYzhkZTJkXkEyXkFqcGdeQXVyMTcyODU1Mg@@._V1_UY209_CR2,0,140,209_AL_.jpg</t>
  </si>
  <si>
    <t xml:space="preserve"> https://m.media-amazon.com/images/M/MV5BMTMzMzU1MjUzMV5BMl5BanBnXkFtZTcwOTc5OTMzMw@@._V1_UY209_CR2,0,140,209_AL_.jpg</t>
  </si>
  <si>
    <t xml:space="preserve"> https://m.media-amazon.com/images/M/MV5BOWVlZWQyYmQtMmIxMS00OGQxLWIzODItM2VmYWI4YTRiMWI5XkEyXkFqcGdeQXVyMTk3MTI5MzA@._V1_UY209_CR4,0,140,209_AL_.jpg</t>
  </si>
  <si>
    <t xml:space="preserve"> https://m.media-amazon.com/images/M/MV5BNjYxNTA5NWUtY2FjNC00YTAzLWEwNDYtZGY2Y2E2NjNkZTY5XkEyXkFqcGdeQXVyMTA0MjU0Ng@@._V1_UY209_CR2,0,140,209_AL_.jpg</t>
  </si>
  <si>
    <t xml:space="preserve"> https://m.media-amazon.com/images/M/MV5BMTQwMzcxMjk3MV5BMl5BanBnXkFtZTYwODI5MDM5._V1_UX140_CR0,0,140,209_AL_.jpg</t>
  </si>
  <si>
    <t xml:space="preserve"> https://m.media-amazon.com/images/M/MV5BZTM4ZWZiNzYtYWFjNS00OGFiLWFiMmMtZWI3NWY0ZmEzZGZkXkEyXkFqcGdeQXVyNjExODE1MDc@._V1_UY209_CR3,0,140,209_AL_.jpg</t>
  </si>
  <si>
    <t xml:space="preserve"> https://m.media-amazon.com/images/M/MV5BMTYzMDM0Njk5OF5BMl5BanBnXkFtZTcwNTkwNjAyMQ@@._V1_UY209_CR4,0,140,209_AL_.jpg</t>
  </si>
  <si>
    <t xml:space="preserve"> https://m.media-amazon.com/images/M/MV5BMjAzMzI1Mjk1OF5BMl5BanBnXkFtZTcwMDAzNzUyMQ@@._V1_UY209_CR34,0,140,209_AL_.jpg</t>
  </si>
  <si>
    <t xml:space="preserve"> https://m.media-amazon.com/images/M/MV5BYmZkMmI2YjUtYjcwNC00N2FkLTg0ZWYtN2EyNTAyNjUzZjczXkEyXkFqcGdeQXVyMjgyNjk3MzE@._V1_UY209_CR8,0,140,209_AL_.jpg</t>
  </si>
  <si>
    <t xml:space="preserve"> https://m.media-amazon.com/images/M/MV5BYWQzOWMzMjAtYzlmZC00ZTlkLTg1OGMtNjgyNDg0OGM0YmFmXkEyXkFqcGdeQXVyNDI5MDI2Mg@@._V1_UY209_CR4,0,140,209_AL_.jpg</t>
  </si>
  <si>
    <t xml:space="preserve"> https://m.media-amazon.com/images/M/MV5BOTgyMGNjOTgtYjYxOC00MzFjLTk1NDMtNmNiZjIzMjMwZGU3XkEyXkFqcGdeQXVyMjI1MDg0ODg@._V1_UY209_CR83,0,140,209_AL_.jpg</t>
  </si>
  <si>
    <t xml:space="preserve"> https://m.media-amazon.com/images/M/MV5BMjRhYTQwZmQtMDFmOS00NmI4LWEwNzgtMjk5YzdjYTg0NmM0XkEyXkFqcGdeQXVyNzQ5MzY0NjM@._V1_UX140_CR0,0,140,209_AL_.jpg</t>
  </si>
  <si>
    <t xml:space="preserve"> https://m.media-amazon.com/images/M/MV5BMWVmMjc5YWItMDA1ZS00MTYxLTg0OGUtMWEyZmRkYjNiYzY3XkEyXkFqcGdeQXVyMjQzMzQzODY@._V1_UY209_CR8,0,140,209_AL_.jpg</t>
  </si>
  <si>
    <t xml:space="preserve"> https://m.media-amazon.com/images/M/MV5BY2MwYzQ0NTAtOTYxYy00MjhhLTk2NzEtOWMyMWRlNmI0OTkxXkEyXkFqcGdeQXVyMTQ3Njg3MQ@@._V1_UY209_CR3,0,140,209_AL_.jpg</t>
  </si>
  <si>
    <t xml:space="preserve"> https://m.media-amazon.com/images/M/MV5BZjNhODE0ZWYtODc0Ni00MzlkLTljM2QtZmRjYWZjNDUxOGVmXkEyXkFqcGdeQXVyMTQ3Njg3MQ@@._V1_UY209_CR6,0,140,209_AL_.jpg</t>
  </si>
  <si>
    <t xml:space="preserve"> https://m.media-amazon.com/images/M/MV5BMTIzMDA3NjY5M15BMl5BanBnXkFtZTYwMDAzNzk5._V1_UY209_CR78,0,140,209_AL_.jpg</t>
  </si>
  <si>
    <t xml:space="preserve"> https://m.media-amazon.com/images/M/MV5BMTY2MTk2MTYwOV5BMl5BanBnXkFtZTcwMjk0NzUxMQ@@._V1_UY209_CR4,0,140,209_AL_.jpg</t>
  </si>
  <si>
    <t xml:space="preserve"> https://m.media-amazon.com/images/M/MV5BNWEwN2QxMTQtMDkyMy00MTkxLTkxOGQtNzNmZDdmYzVjM2U2XkEyXkFqcGdeQXVyMTQ3Njg3MQ@@._V1_UY209_CR3,0,140,209_AL_.jpg</t>
  </si>
  <si>
    <t xml:space="preserve"> https://m.media-amazon.com/images/M/MV5BNmM4OGRlZTktYTFhZi00NjRkLTgzM2ItZDE5ZWMyNjA3Mjg2XkEyXkFqcGdeQXVyNjU3ODUxMTc@._V1_UY209_CR3,0,140,209_AL_.jpg</t>
  </si>
  <si>
    <t xml:space="preserve"> https://m.media-amazon.com/images/M/MV5BMWI0ODA1NGUtMWUyZC00YjFkLWFhNWItNmU3ZTNiZjA3ZjQ4XkEyXkFqcGdeQXVyMjQzMzQzODY@._V1_UY209_CR7,0,140,209_AL_.jpg</t>
  </si>
  <si>
    <t xml:space="preserve"> https://m.media-amazon.com/images/M/MV5BZTIzYWU5MTEtODI4OC00ODRhLWFhMzMtODgzZmEyNzc1OTQ3XkEyXkFqcGdeQXVyNzI4MDMyMTU@._V1_UY209_CR84,0,140,209_AL_.jpg</t>
  </si>
  <si>
    <t xml:space="preserve"> https://m.media-amazon.com/images/M/MV5BMTIzODg5NDA2NF5BMl5BanBnXkFtZTYwMDExODA5._V1_UY209_CR2,0,140,209_AL_.jpg</t>
  </si>
  <si>
    <t xml:space="preserve"> https://m.media-amazon.com/images/M/MV5BMTQ4MTIwOTM4M15BMl5BanBnXkFtZTcwNDcyMDYyMQ@@._V1_UY209_CR4,0,140,209_AL_.jpg</t>
  </si>
  <si>
    <t xml:space="preserve"> https://m.media-amazon.com/images/M/MV5BMTk5NzY2Nzg2M15BMl5BanBnXkFtZTcwNzQzNzYxMQ@@._V1_UY209_CR4,0,140,209_AL_.jpg</t>
  </si>
  <si>
    <t xml:space="preserve"> https://m.media-amazon.com/images/M/MV5BODM3NjkwMDIyNV5BMl5BanBnXkFtZTcwOTAwMTEyMQ@@._V1_UY209_CR4,0,140,209_AL_.jpg</t>
  </si>
  <si>
    <t xml:space="preserve"> https://m.media-amazon.com/images/M/MV5BZTBjMzhiNTgtOTJhOS00YjU0LWIzM2YtZThhMTQ5ZGVjZjNkXkEyXkFqcGdeQXVyMTY5MDE5NA@@._V1_UY209_CR3,0,140,209_AL_.jpg</t>
  </si>
  <si>
    <t xml:space="preserve"> https://m.media-amazon.com/images/M/MV5BZmJlYzhkYWEtZDMzOS00ZmFlLWIyNjUtODEwOTIwMTBlZjgzXkEyXkFqcGdeQXVyMjQzMzQzODY@._V1_UY209_CR12,0,140,209_AL_.jpg</t>
  </si>
  <si>
    <t xml:space="preserve"> https://m.media-amazon.com/images/M/MV5BM2E4MDE5ZjktOGViMi00ODI2LTkwODAtMGYxNDRlNmZiM2E2XkEyXkFqcGdeQXVyMTM2Mzg4MA@@._V1_UY209_CR6,0,140,209_AL_.jpg</t>
  </si>
  <si>
    <t xml:space="preserve"> https://m.media-amazon.com/images/M/MV5BNGZlYjk4ZDAtYzIzYS00ZTAwLTlmNDYtM2IyZjZlNThkOGRjXkEyXkFqcGdeQXVyMjQzMzQzODY@._V1_UY209_CR3,0,140,209_AL_.jpg</t>
  </si>
  <si>
    <t xml:space="preserve"> https://m.media-amazon.com/images/M/MV5BMTQ1MTAxMjgxNV5BMl5BanBnXkFtZTcwODQ5NDEzMQ@@._V1_UY209_CR4,0,140,209_AL_.jpg</t>
  </si>
  <si>
    <t xml:space="preserve"> https://m.media-amazon.com/images/M/MV5BNTZhOWZjZWUtOTRlZi00Yjg0LWIwNGEtZTVjN2RjZWIxYzhhXkEyXkFqcGdeQXVyMjQzMzQzODY@._V1_UY209_CR6,0,140,209_AL_.jpg</t>
  </si>
  <si>
    <t xml:space="preserve"> https://m.media-amazon.com/images/M/MV5BNDU2MjM2MzY4MF5BMl5BanBnXkFtZTcwMTczMzIyMQ@@._V1_UY209_CR1,0,140,209_AL_.jpg</t>
  </si>
  <si>
    <t xml:space="preserve"> https://m.media-amazon.com/images/M/MV5BN2Q1NjNlMTEtOTkwMy00Mzg5LWE4MTgtMDU2YTVhZDljZjNjXkEyXkFqcGdeQXVyMjQzMzQzODY@._V1_UY209_CR7,0,140,209_AL_.jpg</t>
  </si>
  <si>
    <t xml:space="preserve"> https://m.media-amazon.com/images/M/MV5BZWE3OTNiOTEtYTJmYi00NzU4LThiYjEtY2YzNmU0ZjAzOGVjXkEyXkFqcGdeQXVyNzI4MDMyMTU@._V1_UY209_CR65,0,140,209_AL_.jpg</t>
  </si>
  <si>
    <t xml:space="preserve"> https://m.media-amazon.com/images/M/MV5BMTY3NjQ5NjU1NF5BMl5BanBnXkFtZTcwNTM1ODAzMQ@@._V1_UY209_CR2,0,140,209_AL_.jpg</t>
  </si>
  <si>
    <t xml:space="preserve"> https://m.media-amazon.com/images/M/MV5BMWE3YzFhZTAtOTNiMi00ODlhLTgyN2EtNzE2ZWZjYTBhN2Q5XkEyXkFqcGdeQXVyNzI4MDMyMTU@._V1_UY209_CR1,0,140,209_AL_.jpg</t>
  </si>
  <si>
    <t xml:space="preserve"> https://m.media-amazon.com/images/M/MV5BMTY3MDg1NDI1NV5BMl5BanBnXkFtZTcwMjM4MDcyMQ@@._V1_UY209_CR3,0,140,209_AL_.jpg</t>
  </si>
  <si>
    <t xml:space="preserve"> https://m.media-amazon.com/images/M/MV5BZjY4ZWQ4OGMtZWNiMy00N2U2LWI0ZjctNDQ4MTI1MDhiYjAyXkEyXkFqcGdeQXVyMTI2OTM0NzQ@._V1_UY209_CR15,0,140,209_AL_.jpg</t>
  </si>
  <si>
    <t xml:space="preserve"> https://m.media-amazon.com/images/M/MV5BMTQyMDc1OTY1MV5BMl5BanBnXkFtZTcwOTk5MzMzMQ@@._V1_UY209_CR3,0,140,209_AL_.jpg</t>
  </si>
  <si>
    <t xml:space="preserve"> https://m.media-amazon.com/images/M/MV5BZjAyOGVjYTMtZGJlMi00M2U4LTg1ZTQtNjIxNTIwODkxYmRlXkEyXkFqcGdeQXVyMzU0NzkwMDg@._V1_UY209_CR3,0,140,209_AL_.jpg</t>
  </si>
  <si>
    <t xml:space="preserve"> https://m.media-amazon.com/images/M/MV5BMjc5NmIzNGMtMjU5Mi00NTdhLTkzYTgtZGVmNjk5NGYxYzI4XkEyXkFqcGdeQXVyMjE4NzY3Mw@@._V1_UX140_CR0,0,140,209_AL_.jpg</t>
  </si>
  <si>
    <t xml:space="preserve"> https://m.media-amazon.com/images/M/MV5BYTRkYzFkOWItODhhNS00MGQ2LWI4YmItMWRkM2RkYzg1ZGUzXkEyXkFqcGdeQXVyNjMwMjk0MTQ@._V1_UX140_CR0,0,140,209_AL_.jpg</t>
  </si>
  <si>
    <t xml:space="preserve"> https://m.media-amazon.com/images/M/MV5BMjE2MjQ3NDY5Ml5BMl5BanBnXkFtZTcwMjM2NDU4MQ@@._V1_UY209_CR6,0,140,209_AL_.jpg</t>
  </si>
  <si>
    <t xml:space="preserve"> https://m.media-amazon.com/images/M/MV5BNDZmYmM2ZmMtY2Q2MC00MTdlLTkzYjQtY2FjMGRiNDBkN2UzXkEyXkFqcGdeQXVyNzQyODI3NTI@._V1_UY209_CR6,0,140,209_AL_.jpg</t>
  </si>
  <si>
    <t xml:space="preserve"> https://m.media-amazon.com/images/M/MV5BMTRhOGRhMmItMWJiOC00MGJhLTgwZWQtNWJiYjE2ZTcwN2E2XkEyXkFqcGdeQXVyMzU0NzkwMDg@._V1_UY209_CR9,0,140,209_AL_.jpg</t>
  </si>
  <si>
    <t xml:space="preserve"> https://m.media-amazon.com/images/M/MV5BNDJkMzFkNTgtMTU1MC00MWMxLWI3MGYtNGEzZTBkN2ZkY2UwXkEyXkFqcGdeQXVyNjM3MDIwNjc@._V1_UY209_CR8,0,140,209_AL_.jpg</t>
  </si>
  <si>
    <t xml:space="preserve"> https://m.media-amazon.com/images/M/MV5BYjlkODZkMjktMzJlYy00MTYzLWFmZmQtNTM1Yjk4OWRkN2FkXkEyXkFqcGdeQXVyMjQzMzQzODY@._V1_UY209_CR8,0,140,209_AL_.jpg</t>
  </si>
  <si>
    <t xml:space="preserve"> https://m.media-amazon.com/images/M/MV5BNTA4MGNkNjgtM2M1Yy00NDM2LTg1NGEtZGQ2MzM2ZGFkZmFjXkEyXkFqcGdeQXVyMzU0NzkwMDg@._V1_UX140_CR0,0,140,209_AL_.jpg</t>
  </si>
  <si>
    <t xml:space="preserve"> https://m.media-amazon.com/images/M/MV5BZTllYTY0ZDctYTVjMy00ZDVjLTliNDItNGEzOThjMDcwMzFjXkEyXkFqcGdeQXVyNjgxMTQzMzI@._V1_UY209_CR7,0,140,209_AL_.jpg</t>
  </si>
  <si>
    <t xml:space="preserve"> https://m.media-amazon.com/images/M/MV5BMTU1ZjBiYzQtMzcyZi00NWViLWI2ZjUtMTE3ZjEwYmE0ZWJhXkEyXkFqcGdeQXVyMjUyNDk2ODc@._V1_UY209_CR1,0,140,209_AL_.jpg</t>
  </si>
  <si>
    <t xml:space="preserve"> https://m.media-amazon.com/images/M/MV5BMzhmOTQ2NjQtMzdmOC00MTU0LTk0ODktOTM2MmE3ZmYxYjBiXkEyXkFqcGdeQXVyNjExODE1MDc@._V1_UX140_CR0,0,140,209_AL_.jpg</t>
  </si>
  <si>
    <t xml:space="preserve"> https://m.media-amazon.com/images/M/MV5BMTI0MzE2NzQ3Nl5BMl5BanBnXkFtZTcwODg4NzQzMQ@@._V1_UY209_CR5,0,140,209_AL_.jpg</t>
  </si>
  <si>
    <t xml:space="preserve"> https://m.media-amazon.com/images/M/MV5BNGRhMjE0NTctN2U4Zi00MmJiLWI0MWQtYWZkMDQ5MTFkNDdmXkEyXkFqcGdeQXVyMTM2Mzg4MA@@._V1_UY209_CR71,0,140,209_AL_.jpg</t>
  </si>
  <si>
    <t xml:space="preserve"> https://m.media-amazon.com/images/M/MV5BMWIwYTg5ODYtZjZjYi00NjY3LTg1MTAtYmMzZGE2ZDFiMjI1XkEyXkFqcGdeQXVyMTM2Mzg4MA@@._V1_UY209_CR87,0,140,209_AL_.jpg</t>
  </si>
  <si>
    <t xml:space="preserve"> https://m.media-amazon.com/images/M/MV5BMjc5Njg2MzU0N15BMl5BanBnXkFtZTgwNTM2OTYyNTM@._V1_UY209_CR6,0,140,209_AL_.jpg</t>
  </si>
  <si>
    <t>hours</t>
  </si>
  <si>
    <t>mins</t>
  </si>
  <si>
    <t>secs</t>
  </si>
  <si>
    <t>Titel</t>
  </si>
  <si>
    <t>Beginn</t>
  </si>
  <si>
    <t>The advocate / The Hour of the Pig</t>
  </si>
  <si>
    <t>00:00</t>
  </si>
  <si>
    <t>00</t>
  </si>
  <si>
    <t xml:space="preserve">Regarde les hommes tomber / See How They Fall </t>
  </si>
  <si>
    <t>01:00</t>
  </si>
  <si>
    <t>01</t>
  </si>
  <si>
    <t xml:space="preserve">Les Milles: le train de la liberté </t>
  </si>
  <si>
    <t>02:00</t>
  </si>
  <si>
    <t>02</t>
  </si>
  <si>
    <t>Les Peches Mortels / Innocent Lies</t>
  </si>
  <si>
    <t>03:00</t>
  </si>
  <si>
    <t>03</t>
  </si>
  <si>
    <t xml:space="preserve">Un Héros très discret / A Self Made Hero </t>
  </si>
  <si>
    <t>04:00</t>
  </si>
  <si>
    <t>04</t>
  </si>
  <si>
    <t xml:space="preserve">Love, etc. </t>
  </si>
  <si>
    <t>05:00</t>
  </si>
  <si>
    <t>05</t>
  </si>
  <si>
    <t xml:space="preserve">La Femme du cosmonaute </t>
  </si>
  <si>
    <t>06:00</t>
  </si>
  <si>
    <t>06</t>
  </si>
  <si>
    <t xml:space="preserve">Une Chance sur deux </t>
  </si>
  <si>
    <t>07:00</t>
  </si>
  <si>
    <t>07</t>
  </si>
  <si>
    <t xml:space="preserve">Restons groupés </t>
  </si>
  <si>
    <t>08:00</t>
  </si>
  <si>
    <t>08</t>
  </si>
  <si>
    <t>Toni</t>
  </si>
  <si>
    <t>09:00</t>
  </si>
  <si>
    <t>09</t>
  </si>
  <si>
    <t xml:space="preserve">Amazone </t>
  </si>
  <si>
    <t>10:00</t>
  </si>
  <si>
    <t>10</t>
  </si>
  <si>
    <t xml:space="preserve">The Luzhin defence </t>
  </si>
  <si>
    <t>11:00</t>
  </si>
  <si>
    <t>11</t>
  </si>
  <si>
    <t>Sur mes lèvres / Read My Lips</t>
  </si>
  <si>
    <t>12:00</t>
  </si>
  <si>
    <t>12</t>
  </si>
  <si>
    <t>Reines d´un jour / A Hell of a Day</t>
  </si>
  <si>
    <t>13:00</t>
  </si>
  <si>
    <t>13</t>
  </si>
  <si>
    <t>Nid de guêpes / The Nest</t>
  </si>
  <si>
    <t>14:00</t>
  </si>
  <si>
    <t>14</t>
  </si>
  <si>
    <t xml:space="preserve">Mauvais genres / Transfixion </t>
  </si>
  <si>
    <t>15:00</t>
  </si>
  <si>
    <t>15</t>
  </si>
  <si>
    <t xml:space="preserve">Les Corps impatients / Eager Bodies </t>
  </si>
  <si>
    <t>16:00</t>
  </si>
  <si>
    <t>16</t>
  </si>
  <si>
    <t xml:space="preserve">Girl with a Pearl Earring </t>
  </si>
  <si>
    <t>17:00</t>
  </si>
  <si>
    <t>17</t>
  </si>
  <si>
    <t xml:space="preserve">L'Enquète corse / The Corsican File </t>
  </si>
  <si>
    <t>18:00</t>
  </si>
  <si>
    <t>18</t>
  </si>
  <si>
    <t>19:00</t>
  </si>
  <si>
    <t>19</t>
  </si>
  <si>
    <t xml:space="preserve">Syriana </t>
  </si>
  <si>
    <t>20:00</t>
  </si>
  <si>
    <t>20</t>
  </si>
  <si>
    <t xml:space="preserve">Casanova </t>
  </si>
  <si>
    <t>21:00</t>
  </si>
  <si>
    <t>21</t>
  </si>
  <si>
    <t xml:space="preserve">De battre mon coeur s'est arrêté / The Beat That My Heart Skipped </t>
  </si>
  <si>
    <t>22:00</t>
  </si>
  <si>
    <t>22</t>
  </si>
  <si>
    <t xml:space="preserve">Hostage </t>
  </si>
  <si>
    <t>23:00</t>
  </si>
  <si>
    <t>23</t>
  </si>
  <si>
    <t>The Upside of Anger</t>
  </si>
  <si>
    <t>24:00</t>
  </si>
  <si>
    <t>24</t>
  </si>
  <si>
    <t xml:space="preserve">Firewall </t>
  </si>
  <si>
    <t>25:00</t>
  </si>
  <si>
    <t>25</t>
  </si>
  <si>
    <t>The Queen</t>
  </si>
  <si>
    <t>26:00</t>
  </si>
  <si>
    <t>26</t>
  </si>
  <si>
    <t xml:space="preserve">The Painted Veil </t>
  </si>
  <si>
    <t>27:00</t>
  </si>
  <si>
    <t>27</t>
  </si>
  <si>
    <t xml:space="preserve">Quand j'étais chanteur / The Singer </t>
  </si>
  <si>
    <t>28:00</t>
  </si>
  <si>
    <t>28</t>
  </si>
  <si>
    <t>Lust &amp; Caution</t>
  </si>
  <si>
    <t>29:00</t>
  </si>
  <si>
    <t>29</t>
  </si>
  <si>
    <t xml:space="preserve">L'Ennemi intime / Intimate Enemies </t>
  </si>
  <si>
    <t>30:00</t>
  </si>
  <si>
    <t>30</t>
  </si>
  <si>
    <t>The Golden Compass</t>
  </si>
  <si>
    <t>31:00</t>
  </si>
  <si>
    <t>31</t>
  </si>
  <si>
    <t xml:space="preserve">Mr. Magorium's Wonder Emporium </t>
  </si>
  <si>
    <t>32:00</t>
  </si>
  <si>
    <t>32</t>
  </si>
  <si>
    <t xml:space="preserve">Largo Winch </t>
  </si>
  <si>
    <t>33:00</t>
  </si>
  <si>
    <t>33</t>
  </si>
  <si>
    <t xml:space="preserve">The Curious Case of Benjamin Button </t>
  </si>
  <si>
    <t>34:00</t>
  </si>
  <si>
    <t>34</t>
  </si>
  <si>
    <t xml:space="preserve">Afterwards </t>
  </si>
  <si>
    <t>35:00</t>
  </si>
  <si>
    <t>35</t>
  </si>
  <si>
    <t xml:space="preserve">Chéri </t>
  </si>
  <si>
    <t>36:00</t>
  </si>
  <si>
    <t>36</t>
  </si>
  <si>
    <t xml:space="preserve">Coco Avant Chanel </t>
  </si>
  <si>
    <t>37:00</t>
  </si>
  <si>
    <t>37</t>
  </si>
  <si>
    <t xml:space="preserve">Julie &amp; Julia </t>
  </si>
  <si>
    <t>38:00</t>
  </si>
  <si>
    <t>38</t>
  </si>
  <si>
    <t>L'Armée du crime / The Army of Crime</t>
  </si>
  <si>
    <t>39:00</t>
  </si>
  <si>
    <t>39</t>
  </si>
  <si>
    <t>Un Prophète / A Prophet</t>
  </si>
  <si>
    <t>40:00</t>
  </si>
  <si>
    <t>40</t>
  </si>
  <si>
    <t xml:space="preserve">The Twilight Saga: New Moon </t>
  </si>
  <si>
    <t>41:00</t>
  </si>
  <si>
    <t>41</t>
  </si>
  <si>
    <t xml:space="preserve">Fantastic Mr. Fox </t>
  </si>
  <si>
    <t>42:00</t>
  </si>
  <si>
    <t>42</t>
  </si>
  <si>
    <t xml:space="preserve">Tamara Drewe </t>
  </si>
  <si>
    <t>43:00</t>
  </si>
  <si>
    <t>43</t>
  </si>
  <si>
    <t xml:space="preserve">Harry Potter and the Deathly Hallows: Part 1 </t>
  </si>
  <si>
    <t>44:00</t>
  </si>
  <si>
    <t>44</t>
  </si>
  <si>
    <t>The Special Relationship / La relación especial</t>
  </si>
  <si>
    <t>45:00</t>
  </si>
  <si>
    <t>45</t>
  </si>
  <si>
    <t xml:space="preserve">The King´s Speech </t>
  </si>
  <si>
    <t>46:00</t>
  </si>
  <si>
    <t>46</t>
  </si>
  <si>
    <t xml:space="preserve">The Ghost Writer </t>
  </si>
  <si>
    <t>47:00</t>
  </si>
  <si>
    <t>47</t>
  </si>
  <si>
    <t xml:space="preserve">Largo Winch (Tome 2) / The Burma Conspiracy </t>
  </si>
  <si>
    <t>48:00</t>
  </si>
  <si>
    <t>48</t>
  </si>
  <si>
    <t xml:space="preserve">The Tree of Life </t>
  </si>
  <si>
    <t>49:00</t>
  </si>
  <si>
    <t>49</t>
  </si>
  <si>
    <t xml:space="preserve">Harry Potter and the Deathly Hallows: Part 2 </t>
  </si>
  <si>
    <t>50:00</t>
  </si>
  <si>
    <t>50</t>
  </si>
  <si>
    <t xml:space="preserve">La Fille du puisatier / The Well-Digger's Daughter </t>
  </si>
  <si>
    <t>51:00</t>
  </si>
  <si>
    <t>51</t>
  </si>
  <si>
    <t xml:space="preserve">A Better Life </t>
  </si>
  <si>
    <t>52:00</t>
  </si>
  <si>
    <t>52</t>
  </si>
  <si>
    <t xml:space="preserve">The Ides of March </t>
  </si>
  <si>
    <t>53:00</t>
  </si>
  <si>
    <t>53</t>
  </si>
  <si>
    <t xml:space="preserve">My Week with Marilyn </t>
  </si>
  <si>
    <t>54:00</t>
  </si>
  <si>
    <t>54</t>
  </si>
  <si>
    <t xml:space="preserve">Extremely Loud and Incredibly Close </t>
  </si>
  <si>
    <t>55:00</t>
  </si>
  <si>
    <t>55</t>
  </si>
  <si>
    <t xml:space="preserve">Carnage </t>
  </si>
  <si>
    <t>56:00</t>
  </si>
  <si>
    <t>56</t>
  </si>
  <si>
    <t xml:space="preserve">My Way / Cloclo </t>
  </si>
  <si>
    <t>57:00</t>
  </si>
  <si>
    <t>57</t>
  </si>
  <si>
    <t>De Rouille et d'os / Rust and Bone</t>
  </si>
  <si>
    <t>58:00</t>
  </si>
  <si>
    <t>58</t>
  </si>
  <si>
    <t xml:space="preserve">Argo </t>
  </si>
  <si>
    <t>59:00</t>
  </si>
  <si>
    <t>59</t>
  </si>
  <si>
    <t xml:space="preserve">Reality </t>
  </si>
  <si>
    <t>1:00:00</t>
  </si>
  <si>
    <t xml:space="preserve">Rise of the Guardians </t>
  </si>
  <si>
    <t>1:01:00</t>
  </si>
  <si>
    <t xml:space="preserve">Zero Dark Thirty </t>
  </si>
  <si>
    <t>1:02:00</t>
  </si>
  <si>
    <t xml:space="preserve">Renoir </t>
  </si>
  <si>
    <t>1:03:00</t>
  </si>
  <si>
    <t xml:space="preserve">Philomena </t>
  </si>
  <si>
    <t>1:04:00</t>
  </si>
  <si>
    <t>Venus in Fur</t>
  </si>
  <si>
    <t>1:05:00</t>
  </si>
  <si>
    <t xml:space="preserve">Zulu </t>
  </si>
  <si>
    <t>1:06:00</t>
  </si>
  <si>
    <t xml:space="preserve">The Monuments Men </t>
  </si>
  <si>
    <t>1:07:00</t>
  </si>
  <si>
    <t xml:space="preserve">The Grand Budapest Hotel </t>
  </si>
  <si>
    <t>1:08:00</t>
  </si>
  <si>
    <t xml:space="preserve">Godzilla </t>
  </si>
  <si>
    <t>1:09:00</t>
  </si>
  <si>
    <t xml:space="preserve">The Imitation Game </t>
  </si>
  <si>
    <t>1:10:00</t>
  </si>
  <si>
    <t xml:space="preserve">Unbroken </t>
  </si>
  <si>
    <t>1:11:00</t>
  </si>
  <si>
    <t xml:space="preserve">Suite Française </t>
  </si>
  <si>
    <t>1:12:00</t>
  </si>
  <si>
    <t>1:13:00</t>
  </si>
  <si>
    <t xml:space="preserve">Every Thing Will Be Fine </t>
  </si>
  <si>
    <t>1:14:00</t>
  </si>
  <si>
    <t xml:space="preserve">Tale of Tales </t>
  </si>
  <si>
    <t>1:15:00</t>
  </si>
  <si>
    <t xml:space="preserve">L'Odyssée / The Odyssey </t>
  </si>
  <si>
    <t>1:16:00</t>
  </si>
  <si>
    <t xml:space="preserve">American Pastoral </t>
  </si>
  <si>
    <t>1:17:00</t>
  </si>
  <si>
    <t>1:18:00</t>
  </si>
  <si>
    <t xml:space="preserve">The Light Between Oceans </t>
  </si>
  <si>
    <t>1:19:00</t>
  </si>
  <si>
    <t xml:space="preserve">The Secret Life of Pets </t>
  </si>
  <si>
    <t>1:20:00</t>
  </si>
  <si>
    <t xml:space="preserve">Florence Foster Jenkins </t>
  </si>
  <si>
    <t>1:21:00</t>
  </si>
  <si>
    <t xml:space="preserve">Alone in Berlin </t>
  </si>
  <si>
    <t>1:22:00</t>
  </si>
  <si>
    <t>Réparer les vivants / Heal the Living</t>
  </si>
  <si>
    <t>1:23:00</t>
  </si>
  <si>
    <t xml:space="preserve">D'après une histoire vraie / Based on a True Story </t>
  </si>
  <si>
    <t>1:24:00</t>
  </si>
  <si>
    <t xml:space="preserve">Suburbicon </t>
  </si>
  <si>
    <t>1:25:00</t>
  </si>
  <si>
    <t xml:space="preserve">Valerian and the City of a Thousand Planets </t>
  </si>
  <si>
    <t>1:26:00</t>
  </si>
  <si>
    <t xml:space="preserve">The Shape of Water </t>
  </si>
  <si>
    <t>1:27:00</t>
  </si>
  <si>
    <t>1:28:00</t>
  </si>
  <si>
    <t>1:29:00</t>
  </si>
  <si>
    <t>Isle of Dogs</t>
  </si>
  <si>
    <t>1:30:00</t>
  </si>
  <si>
    <t>Nominiert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</si>
</sst>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FE7CA-9B6F-4D4F-8348-AE12590B23CC}">
  <sheetPr codeName="Sheet2"/>
  <dimension ref="A1:I189"/>
  <sheetViews>
    <sheetView topLeftCell="B1" workbookViewId="0">
      <selection activeCell="I5" sqref="I5"/>
    </sheetView>
  </sheetViews>
  <sheetFormatPr defaultRowHeight="15" x14ac:dyDescent="0.25"/>
  <cols>
    <col min="1" max="1" width="163.7109375" bestFit="1" customWidth="1"/>
    <col min="2" max="2" width="10.140625" bestFit="1" customWidth="1"/>
    <col min="3" max="3" width="11.42578125" bestFit="1" customWidth="1"/>
    <col min="4" max="4" width="5" bestFit="1" customWidth="1"/>
    <col min="5" max="5" width="22.140625" bestFit="1" customWidth="1"/>
    <col min="6" max="6" width="35.140625" customWidth="1"/>
    <col min="7" max="7" width="61.5703125" bestFit="1" customWidth="1"/>
    <col min="8" max="8" width="9.42578125" bestFit="1" customWidth="1"/>
  </cols>
  <sheetData>
    <row r="1" spans="1:9" x14ac:dyDescent="0.25">
      <c r="A1" t="s">
        <v>656</v>
      </c>
      <c r="B1" t="s">
        <v>2</v>
      </c>
      <c r="C1" t="s">
        <v>3</v>
      </c>
      <c r="D1" t="s">
        <v>4</v>
      </c>
      <c r="E1" t="s">
        <v>345</v>
      </c>
      <c r="F1" t="s">
        <v>5</v>
      </c>
      <c r="G1" t="s">
        <v>346</v>
      </c>
      <c r="H1" t="s">
        <v>347</v>
      </c>
    </row>
    <row r="2" spans="1:9" x14ac:dyDescent="0.25">
      <c r="A2" t="s">
        <v>868</v>
      </c>
      <c r="B2" t="s">
        <v>1</v>
      </c>
      <c r="C2" t="s">
        <v>0</v>
      </c>
      <c r="D2" t="s">
        <v>193</v>
      </c>
      <c r="E2" t="s">
        <v>677</v>
      </c>
      <c r="F2" t="s">
        <v>708</v>
      </c>
      <c r="G2" t="s">
        <v>6</v>
      </c>
      <c r="I2" t="str">
        <f>+"&lt;tr class='rowfilm'&gt;&lt;td class='film'&gt;&lt;img src='" &amp; A2 &amp;"'&gt;&lt;/td&gt;&lt;td class='beschreibung'&gt;&lt;strong&gt;"  &amp; F2  &amp;"&lt;/strong&gt;&lt;br&gt;Jahr: "&amp; D2 &amp; "&lt;br&gt;" &amp; B2 &amp;"&lt;br&gt;Rolle: " &amp; C2 &amp; "&lt;br&gt;Typ: " &amp; E2 &amp; "&lt;br&gt;" &amp; "&lt;a href='" &amp; G2 &amp;"'&gt;Link&lt;/a&gt;&lt;/td&gt;&lt;/tr&gt;"</f>
        <v>&lt;tr class='rowfilm'&gt;&lt;td class='film'&gt;&lt;img src=' https://m.media-amazon.com/images/G/01/imdb/images/nopicture/140x209/film-4001654135._CB466678728_.png'&gt;&lt;/td&gt;&lt;td class='beschreibung'&gt;&lt;strong&gt;Pinocchio&lt;/strong&gt;&lt;br&gt;Jahr: 2021&lt;br&gt;Filmmusik&lt;br&gt;Rolle: Komponent&lt;br&gt;Typ: In Arbeit&lt;br&gt;&lt;a href=''&gt;Link&lt;/a&gt;&lt;/td&gt;&lt;/tr&gt;</v>
      </c>
    </row>
    <row r="3" spans="1:9" x14ac:dyDescent="0.25">
      <c r="A3" t="s">
        <v>868</v>
      </c>
      <c r="B3" t="s">
        <v>1</v>
      </c>
      <c r="C3" t="s">
        <v>0</v>
      </c>
      <c r="D3" t="s">
        <v>194</v>
      </c>
      <c r="E3" t="s">
        <v>678</v>
      </c>
      <c r="F3" t="s">
        <v>709</v>
      </c>
      <c r="G3" t="s">
        <v>6</v>
      </c>
      <c r="I3" t="str">
        <f t="shared" ref="I3:I66" si="0">+"&lt;tr class='rowfilm'&gt;&lt;td class='film'&gt;&lt;img src='" &amp; A3 &amp;"'&gt;&lt;/td&gt;&lt;td class='beschreibung'&gt;&lt;strong&gt;"  &amp; F3  &amp;"&lt;/strong&gt;&lt;br&gt;Jahr: "&amp; D3 &amp; "&lt;br&gt;" &amp; B3 &amp;"&lt;br&gt;Rolle: " &amp; C3 &amp; "&lt;br&gt;Typ: " &amp; E3 &amp; "&lt;br&gt;" &amp; "&lt;a href='" &amp; G3 &amp;"'&gt;Link&lt;/a&gt;&lt;/td&gt;&lt;/tr&gt;"</f>
        <v>&lt;tr class='rowfilm'&gt;&lt;td class='film'&gt;&lt;img src=' https://m.media-amazon.com/images/G/01/imdb/images/nopicture/140x209/film-4001654135._CB466678728_.png'&gt;&lt;/td&gt;&lt;td class='beschreibung'&gt;&lt;strong&gt;The French Dispatch&lt;/strong&gt;&lt;br&gt;Jahr: 2020&lt;br&gt;Filmmusik&lt;br&gt;Rolle: Komponent&lt;br&gt;Typ: Noch nicht ausgestrahlt&lt;br&gt;&lt;a href=''&gt;Link&lt;/a&gt;&lt;/td&gt;&lt;/tr&gt;</v>
      </c>
    </row>
    <row r="4" spans="1:9" x14ac:dyDescent="0.25">
      <c r="A4" t="s">
        <v>794</v>
      </c>
      <c r="B4" t="s">
        <v>1</v>
      </c>
      <c r="C4" t="s">
        <v>0</v>
      </c>
      <c r="D4" t="s">
        <v>195</v>
      </c>
      <c r="E4" t="s">
        <v>743</v>
      </c>
      <c r="F4" t="s">
        <v>196</v>
      </c>
      <c r="G4" t="s">
        <v>7</v>
      </c>
      <c r="H4" t="str">
        <f>+MID(G4,28,9)</f>
        <v>tt3281548</v>
      </c>
      <c r="I4" t="str">
        <f t="shared" si="0"/>
        <v>&lt;tr class='rowfilm'&gt;&lt;td class='film'&gt;&lt;img src='https://m.media-amazon.com/images/M/MV5BY2QzYTQyYzItMzAwYi00YjZlLThjNTUtNzMyMDdkYzJiNWM4XkEyXkFqcGdeQXVyMTkxNjUyNQ@@._V1_UY209_CR0,0,140,209_AL_.jpg'&gt;&lt;/td&gt;&lt;td class='beschreibung'&gt;&lt;strong&gt;Little Women&lt;/strong&gt;&lt;br&gt;Jahr: 2019&lt;br&gt;Filmmusik&lt;br&gt;Rolle: Komponent&lt;br&gt;Typ: Kinofilm&lt;br&gt;&lt;a href='https://www.imdb.com/title/tt3281548/?ref_=nm_flmg_com_3'&gt;Link&lt;/a&gt;&lt;/td&gt;&lt;/tr&gt;</v>
      </c>
    </row>
    <row r="5" spans="1:9" x14ac:dyDescent="0.25">
      <c r="A5" t="s">
        <v>797</v>
      </c>
      <c r="B5" t="s">
        <v>1</v>
      </c>
      <c r="C5" t="s">
        <v>0</v>
      </c>
      <c r="D5" t="s">
        <v>195</v>
      </c>
      <c r="E5" t="s">
        <v>743</v>
      </c>
      <c r="F5" t="s">
        <v>699</v>
      </c>
      <c r="G5" t="s">
        <v>8</v>
      </c>
      <c r="H5" t="str">
        <f t="shared" ref="H5:H67" si="1">+MID(G5,28,9)</f>
        <v>tt7493370</v>
      </c>
      <c r="I5" t="str">
        <f t="shared" si="0"/>
        <v>&lt;tr class='rowfilm'&gt;&lt;td class='film'&gt;&lt;img src='https://m.media-amazon.com/images/M/MV5BNjQ0MDg4Y2ItMjI2NS00NzQ5LWI5MDUtNTJkMmRkYmRkMzM0XkEyXkFqcGdeQXVyODc0OTEyNDU@._V1_UY209_CR8,0,140,209_AL_.jpg'&gt;&lt;/td&gt;&lt;td class='beschreibung'&gt;&lt;strong&gt;Adults in the Room&lt;/strong&gt;&lt;br&gt;Jahr: 2019&lt;br&gt;Filmmusik&lt;br&gt;Rolle: Komponent&lt;br&gt;Typ: Kinofilm&lt;br&gt;&lt;a href='https://www.imdb.com/title/tt7493370/?ref_=nm_flmg_com_4'&gt;Link&lt;/a&gt;&lt;/td&gt;&lt;/tr&gt;</v>
      </c>
    </row>
    <row r="6" spans="1:9" x14ac:dyDescent="0.25">
      <c r="A6" t="s">
        <v>796</v>
      </c>
      <c r="B6" t="s">
        <v>1</v>
      </c>
      <c r="C6" t="s">
        <v>0</v>
      </c>
      <c r="D6" t="s">
        <v>195</v>
      </c>
      <c r="E6" t="s">
        <v>743</v>
      </c>
      <c r="F6" t="s">
        <v>197</v>
      </c>
      <c r="G6" t="s">
        <v>9</v>
      </c>
      <c r="H6" t="str">
        <f t="shared" si="1"/>
        <v>tt2398149</v>
      </c>
      <c r="I6" t="str">
        <f t="shared" si="0"/>
        <v>&lt;tr class='rowfilm'&gt;&lt;td class='film'&gt;&lt;img src='https://m.media-amazon.com/images/M/MV5BMmZlZmQ1N2YtMDhlOS00NmIxLTgyZTktNDI2YzRkMmE1OTIyXkEyXkFqcGdeQXVyNjAyNTIzOTM@._V1_UY209_CR7,0,140,209_AL_.jpg'&gt;&lt;/td&gt;&lt;td class='beschreibung'&gt;&lt;strong&gt;Intrige&lt;/strong&gt;&lt;br&gt;Jahr: 2019&lt;br&gt;Filmmusik&lt;br&gt;Rolle: Komponent&lt;br&gt;Typ: Kinofilm&lt;br&gt;&lt;a href='https://www.imdb.com/title/tt2398149/?ref_=nm_flmg_com_5'&gt;Link&lt;/a&gt;&lt;/td&gt;&lt;/tr&gt;</v>
      </c>
    </row>
    <row r="7" spans="1:9" x14ac:dyDescent="0.25">
      <c r="A7" t="s">
        <v>795</v>
      </c>
      <c r="B7" t="s">
        <v>1</v>
      </c>
      <c r="C7" t="s">
        <v>0</v>
      </c>
      <c r="D7" t="s">
        <v>195</v>
      </c>
      <c r="E7" t="s">
        <v>743</v>
      </c>
      <c r="F7" t="s">
        <v>679</v>
      </c>
      <c r="G7" t="s">
        <v>10</v>
      </c>
      <c r="H7" t="str">
        <f t="shared" si="1"/>
        <v>tt5113040</v>
      </c>
      <c r="I7" t="str">
        <f t="shared" si="0"/>
        <v>&lt;tr class='rowfilm'&gt;&lt;td class='film'&gt;&lt;img src='https://m.media-amazon.com/images/M/MV5BMzdlMWQzZmItMDA5Ny00MGFjLTk0MDAtYjgzMmMyNTEwMzdhXkEyXkFqcGdeQXVyODQzNTE3ODc@._V1_UX140_CR0,0,140,209_AL_.jpg'&gt;&lt;/td&gt;&lt;td class='beschreibung'&gt;&lt;strong&gt;Pets 2&lt;/strong&gt;&lt;br&gt;Jahr: 2019&lt;br&gt;Filmmusik&lt;br&gt;Rolle: Komponent&lt;br&gt;Typ: Kinofilm&lt;br&gt;&lt;a href='https://www.imdb.com/title/tt5113040/?ref_=nm_flmg_com_6'&gt;Link&lt;/a&gt;&lt;/td&gt;&lt;/tr&gt;</v>
      </c>
    </row>
    <row r="8" spans="1:9" x14ac:dyDescent="0.25">
      <c r="A8" t="s">
        <v>799</v>
      </c>
      <c r="B8" t="s">
        <v>1</v>
      </c>
      <c r="C8" t="s">
        <v>0</v>
      </c>
      <c r="D8" t="s">
        <v>195</v>
      </c>
      <c r="E8" t="s">
        <v>743</v>
      </c>
      <c r="F8" t="s">
        <v>685</v>
      </c>
      <c r="G8" t="s">
        <v>11</v>
      </c>
      <c r="H8" t="str">
        <f t="shared" si="1"/>
        <v>tt9409328</v>
      </c>
      <c r="I8" t="str">
        <f t="shared" si="0"/>
        <v>&lt;tr class='rowfilm'&gt;&lt;td class='film'&gt;&lt;img src='https://m.media-amazon.com/images/M/MV5BOWRiNTY2MjEtMDg0MS00MjZhLWJlN2QtYWUxZWRjYzc2ZjQ5XkEyXkFqcGdeQXVyNjEyNzkyNTA@._V1_UY209_CR69,0,140,209_AL_.jpg'&gt;&lt;/td&gt;&lt;td class='beschreibung'&gt;&lt;strong&gt;Held for a moment&lt;/strong&gt;&lt;br&gt;Jahr: 2019&lt;br&gt;Filmmusik&lt;br&gt;Rolle: Komponent&lt;br&gt;Typ: Kinofilm&lt;br&gt;&lt;a href='https://www.imdb.com/title/tt9409328/?ref_=nm_flmg_com_7'&gt;Link&lt;/a&gt;&lt;/td&gt;&lt;/tr&gt;</v>
      </c>
    </row>
    <row r="9" spans="1:9" x14ac:dyDescent="0.25">
      <c r="A9" t="s">
        <v>804</v>
      </c>
      <c r="B9" t="s">
        <v>1</v>
      </c>
      <c r="C9" t="s">
        <v>0</v>
      </c>
      <c r="D9" t="s">
        <v>198</v>
      </c>
      <c r="E9" t="s">
        <v>743</v>
      </c>
      <c r="F9" t="s">
        <v>199</v>
      </c>
      <c r="G9" t="s">
        <v>12</v>
      </c>
      <c r="H9" t="str">
        <f t="shared" si="1"/>
        <v>tt4951982</v>
      </c>
      <c r="I9" t="str">
        <f t="shared" si="0"/>
        <v>&lt;tr class='rowfilm'&gt;&lt;td class='film'&gt;&lt;img src='https://m.media-amazon.com/images/M/MV5BMTc4MTIxMWEtMmRhNC00NWEzLWExMWQtMmNiNjA1MDlkZjk3XkEyXkFqcGdeQXVyMTkxODQ4MDg@._V1_UY209_CR0,0,140,209_AL_.jpg'&gt;&lt;/td&gt;&lt;td class='beschreibung'&gt;&lt;strong&gt;Kursk&lt;/strong&gt;&lt;br&gt;Jahr: 2018&lt;br&gt;Filmmusik&lt;br&gt;Rolle: Komponent&lt;br&gt;Typ: Kinofilm&lt;br&gt;&lt;a href='https://www.imdb.com/title/tt4951982/?ref_=nm_flmg_com_8'&gt;Link&lt;/a&gt;&lt;/td&gt;&lt;/tr&gt;</v>
      </c>
    </row>
    <row r="10" spans="1:9" x14ac:dyDescent="0.25">
      <c r="A10" t="s">
        <v>802</v>
      </c>
      <c r="B10" t="s">
        <v>1</v>
      </c>
      <c r="C10" t="s">
        <v>0</v>
      </c>
      <c r="D10" t="s">
        <v>198</v>
      </c>
      <c r="E10" t="s">
        <v>743</v>
      </c>
      <c r="F10" t="s">
        <v>200</v>
      </c>
      <c r="G10" t="s">
        <v>13</v>
      </c>
      <c r="H10" t="str">
        <f t="shared" si="1"/>
        <v>tt4971344</v>
      </c>
      <c r="I10" t="str">
        <f t="shared" si="0"/>
        <v>&lt;tr class='rowfilm'&gt;&lt;td class='film'&gt;&lt;img src='https://m.media-amazon.com/images/M/MV5BOTZmNTI1MzMtMGY0ZS00YTRlLWI4OTktYzE3YzZjZjJkNDVlXkEyXkFqcGdeQXVyMjM4NTM5NDY@._V1_UY209_CR0,0,140,209_AL_.jpg'&gt;&lt;/td&gt;&lt;td class='beschreibung'&gt;&lt;strong&gt;The Sisters Brothers&lt;/strong&gt;&lt;br&gt;Jahr: 2018&lt;br&gt;Filmmusik&lt;br&gt;Rolle: Komponent&lt;br&gt;Typ: Kinofilm&lt;br&gt;&lt;a href='https://www.imdb.com/title/tt4971344/?ref_=nm_flmg_com_9'&gt;Link&lt;/a&gt;&lt;/td&gt;&lt;/tr&gt;</v>
      </c>
    </row>
    <row r="11" spans="1:9" x14ac:dyDescent="0.25">
      <c r="A11" t="s">
        <v>803</v>
      </c>
      <c r="B11" t="s">
        <v>1</v>
      </c>
      <c r="C11" t="s">
        <v>0</v>
      </c>
      <c r="D11" t="s">
        <v>198</v>
      </c>
      <c r="E11" t="s">
        <v>743</v>
      </c>
      <c r="F11" t="s">
        <v>201</v>
      </c>
      <c r="G11" t="s">
        <v>14</v>
      </c>
      <c r="H11" t="str">
        <f t="shared" si="1"/>
        <v>tt5208252</v>
      </c>
      <c r="I11" t="str">
        <f t="shared" si="0"/>
        <v>&lt;tr class='rowfilm'&gt;&lt;td class='film'&gt;&lt;img src='https://m.media-amazon.com/images/M/MV5BYzE1YjI2MjctZTY2Zi00NDBhLWIzYmMtNzMzMDgwZjE4MzUxXkEyXkFqcGdeQXVyNTI4MzE4MDU@._V1_UY209_CR0,0,140,209_AL_.jpg'&gt;&lt;/td&gt;&lt;td class='beschreibung'&gt;&lt;strong&gt;Operation Finale&lt;/strong&gt;&lt;br&gt;Jahr: 2018&lt;br&gt;Filmmusik&lt;br&gt;Rolle: Komponent&lt;br&gt;Typ: Kinofilm&lt;br&gt;&lt;a href='https://www.imdb.com/title/tt5208252/?ref_=nm_flmg_com_10'&gt;Link&lt;/a&gt;&lt;/td&gt;&lt;/tr&gt;</v>
      </c>
    </row>
    <row r="12" spans="1:9" x14ac:dyDescent="0.25">
      <c r="A12" t="s">
        <v>801</v>
      </c>
      <c r="B12" t="s">
        <v>1</v>
      </c>
      <c r="C12" t="s">
        <v>0</v>
      </c>
      <c r="D12" t="s">
        <v>198</v>
      </c>
      <c r="E12" t="s">
        <v>743</v>
      </c>
      <c r="F12" t="s">
        <v>700</v>
      </c>
      <c r="G12" t="s">
        <v>15</v>
      </c>
      <c r="H12" t="str">
        <f t="shared" si="1"/>
        <v>tt5104604</v>
      </c>
      <c r="I12" t="str">
        <f t="shared" si="0"/>
        <v>&lt;tr class='rowfilm'&gt;&lt;td class='film'&gt;&lt;img src='https://m.media-amazon.com/images/M/MV5BMTYyOTUwNjAxM15BMl5BanBnXkFtZTgwODcyMzE0NDM@._V1_UX140_CR0,0,140,209_AL_.jpg'&gt;&lt;/td&gt;&lt;td class='beschreibung'&gt;&lt;strong&gt;Ataris Reise&lt;/strong&gt;&lt;br&gt;Jahr: 2018&lt;br&gt;Filmmusik&lt;br&gt;Rolle: Komponent&lt;br&gt;Typ: Kinofilm&lt;br&gt;&lt;a href='https://www.imdb.com/title/tt5104604/?ref_=nm_flmg_com_11'&gt;Link&lt;/a&gt;&lt;/td&gt;&lt;/tr&gt;</v>
      </c>
    </row>
    <row r="13" spans="1:9" x14ac:dyDescent="0.25">
      <c r="A13" t="s">
        <v>813</v>
      </c>
      <c r="B13" t="s">
        <v>1</v>
      </c>
      <c r="C13" t="s">
        <v>0</v>
      </c>
      <c r="D13" t="s">
        <v>202</v>
      </c>
      <c r="E13" t="s">
        <v>743</v>
      </c>
      <c r="F13" t="s">
        <v>680</v>
      </c>
      <c r="G13" t="s">
        <v>16</v>
      </c>
      <c r="H13" t="str">
        <f t="shared" si="1"/>
        <v>tt0491175</v>
      </c>
      <c r="I13" t="str">
        <f t="shared" si="0"/>
        <v>&lt;tr class='rowfilm'&gt;&lt;td class='film'&gt;&lt;img src='https://m.media-amazon.com/images/M/MV5BMDE2MzMxNzQtYzVkYi00MmZmLThhZDgtMDdjZWRiNWI3ZWRjXkEyXkFqcGdeQXVyODE5NzE3OTE@._V1_UX140_CR0,0,140,209_AL_.jpg'&gt;&lt;/td&gt;&lt;td class='beschreibung'&gt;&lt;strong&gt;Suburbicon&lt;/strong&gt;&lt;br&gt;Jahr: 2017&lt;br&gt;Filmmusik&lt;br&gt;Rolle: Komponent&lt;br&gt;Typ: Kinofilm&lt;br&gt;&lt;a href='https://www.imdb.com/title/tt0491175/?ref_=nm_flmg_com_12'&gt;Link&lt;/a&gt;&lt;/td&gt;&lt;/tr&gt;</v>
      </c>
    </row>
    <row r="14" spans="1:9" x14ac:dyDescent="0.25">
      <c r="A14" t="s">
        <v>815</v>
      </c>
      <c r="B14" t="s">
        <v>1</v>
      </c>
      <c r="C14" t="s">
        <v>0</v>
      </c>
      <c r="D14" t="s">
        <v>202</v>
      </c>
      <c r="E14" t="s">
        <v>743</v>
      </c>
      <c r="F14" t="s">
        <v>203</v>
      </c>
      <c r="G14" t="s">
        <v>17</v>
      </c>
      <c r="H14" t="str">
        <f t="shared" si="1"/>
        <v>tt5539466</v>
      </c>
      <c r="I14" t="str">
        <f t="shared" si="0"/>
        <v>&lt;tr class='rowfilm'&gt;&lt;td class='film'&gt;&lt;img src='https://m.media-amazon.com/images/M/MV5BMTdhYjQ3YjUtNDMwYS00ZjRlLTljNjItODYwYzVjY2UzMDM1XkEyXkFqcGdeQXVyNTQ2NDYyNzY@._V1_UY209_CR7,0,140,209_AL_.jpg'&gt;&lt;/td&gt;&lt;td class='beschreibung'&gt;&lt;strong&gt;Espèces menacées&lt;/strong&gt;&lt;br&gt;Jahr: 2017&lt;br&gt;Filmmusik&lt;br&gt;Rolle: Komponent&lt;br&gt;Typ: Kinofilm&lt;br&gt;&lt;a href='https://www.imdb.com/title/tt5539466/?ref_=nm_flmg_com_13'&gt;Link&lt;/a&gt;&lt;/td&gt;&lt;/tr&gt;</v>
      </c>
    </row>
    <row r="15" spans="1:9" x14ac:dyDescent="0.25">
      <c r="A15" t="s">
        <v>810</v>
      </c>
      <c r="B15" t="s">
        <v>1</v>
      </c>
      <c r="C15" t="s">
        <v>0</v>
      </c>
      <c r="D15" t="s">
        <v>202</v>
      </c>
      <c r="E15" t="s">
        <v>743</v>
      </c>
      <c r="F15" t="s">
        <v>204</v>
      </c>
      <c r="G15" t="s">
        <v>18</v>
      </c>
      <c r="H15" t="str">
        <f t="shared" si="1"/>
        <v>tt5580390</v>
      </c>
      <c r="I15" t="str">
        <f t="shared" si="0"/>
        <v>&lt;tr class='rowfilm'&gt;&lt;td class='film'&gt;&lt;img src='https://m.media-amazon.com/images/M/MV5BNGNiNWQ5M2MtNGI0OC00MDA2LWI5NzEtMmZiYjVjMDEyOWYzXkEyXkFqcGdeQXVyMjM4NTM5NDY@._V1_UY209_CR0,0,140,209_AL_.jpg'&gt;&lt;/td&gt;&lt;td class='beschreibung'&gt;&lt;strong&gt;Shape of Water: Das Flüstern des Wassers&lt;/strong&gt;&lt;br&gt;Jahr: 2017&lt;br&gt;Filmmusik&lt;br&gt;Rolle: Komponent&lt;br&gt;Typ: Kinofilm&lt;br&gt;&lt;a href='https://www.imdb.com/title/tt5580390/?ref_=nm_flmg_com_14'&gt;Link&lt;/a&gt;&lt;/td&gt;&lt;/tr&gt;</v>
      </c>
    </row>
    <row r="16" spans="1:9" x14ac:dyDescent="0.25">
      <c r="A16" t="s">
        <v>811</v>
      </c>
      <c r="B16" t="s">
        <v>1</v>
      </c>
      <c r="C16" t="s">
        <v>0</v>
      </c>
      <c r="D16" t="s">
        <v>202</v>
      </c>
      <c r="E16" t="s">
        <v>743</v>
      </c>
      <c r="F16" t="s">
        <v>707</v>
      </c>
      <c r="G16" t="s">
        <v>19</v>
      </c>
      <c r="H16" t="str">
        <f t="shared" si="1"/>
        <v>tt2239822</v>
      </c>
      <c r="I16" t="str">
        <f t="shared" si="0"/>
        <v>&lt;tr class='rowfilm'&gt;&lt;td class='film'&gt;&lt;img src='https://m.media-amazon.com/images/M/MV5BMTkxMDAxNDUyNV5BMl5BanBnXkFtZTgwOTc3MzcxMjI@._V1_UY209_CR0,0,140,209_AL_.jpg'&gt;&lt;/td&gt;&lt;td class='beschreibung'&gt;&lt;strong&gt;Valerian - Die Stadt der tausend Planeten&lt;/strong&gt;&lt;br&gt;Jahr: 2017&lt;br&gt;Filmmusik&lt;br&gt;Rolle: Komponent&lt;br&gt;Typ: Kinofilm&lt;br&gt;&lt;a href='https://www.imdb.com/title/tt2239822/?ref_=nm_flmg_com_15'&gt;Link&lt;/a&gt;&lt;/td&gt;&lt;/tr&gt;</v>
      </c>
    </row>
    <row r="17" spans="1:9" x14ac:dyDescent="0.25">
      <c r="A17" t="s">
        <v>814</v>
      </c>
      <c r="B17" t="s">
        <v>1</v>
      </c>
      <c r="C17" t="s">
        <v>0</v>
      </c>
      <c r="D17" t="s">
        <v>202</v>
      </c>
      <c r="E17" t="s">
        <v>743</v>
      </c>
      <c r="F17" t="s">
        <v>205</v>
      </c>
      <c r="G17" t="s">
        <v>20</v>
      </c>
      <c r="H17" t="str">
        <f t="shared" si="1"/>
        <v>tt5893264</v>
      </c>
      <c r="I17" t="str">
        <f t="shared" si="0"/>
        <v>&lt;tr class='rowfilm'&gt;&lt;td class='film'&gt;&lt;img src='https://m.media-amazon.com/images/M/MV5BZGM5YzIxZWMtNzcwZC00YmU4LWE1M2UtZmZhYWZhNWEwODE5XkEyXkFqcGdeQXVyNDkzNTM2ODg@._V1_UY209_CR7,0,140,209_AL_.jpg'&gt;&lt;/td&gt;&lt;td class='beschreibung'&gt;&lt;strong&gt;/INach einer wahren Geschichte&lt;/strong&gt;&lt;br&gt;Jahr: 2017&lt;br&gt;Filmmusik&lt;br&gt;Rolle: Komponent&lt;br&gt;Typ: Kinofilm&lt;br&gt;&lt;a href='https://www.imdb.com/title/tt5893264/?ref_=nm_flmg_com_16'&gt;Link&lt;/a&gt;&lt;/td&gt;&lt;/tr&gt;</v>
      </c>
    </row>
    <row r="18" spans="1:9" x14ac:dyDescent="0.25">
      <c r="A18" t="s">
        <v>816</v>
      </c>
      <c r="B18" t="s">
        <v>1</v>
      </c>
      <c r="C18" t="s">
        <v>0</v>
      </c>
      <c r="D18" t="s">
        <v>202</v>
      </c>
      <c r="E18" t="s">
        <v>701</v>
      </c>
      <c r="F18" t="s">
        <v>702</v>
      </c>
      <c r="G18" t="s">
        <v>21</v>
      </c>
      <c r="H18" t="str">
        <f t="shared" si="1"/>
        <v>tt6777114</v>
      </c>
      <c r="I18" t="str">
        <f t="shared" si="0"/>
        <v>&lt;tr class='rowfilm'&gt;&lt;td class='film'&gt;&lt;img src='https://m.media-amazon.com/images/M/MV5BMzMwNTg5NDUtODJkYS00ZjgzLThmMjItYTZhOWFhNjM0YTEyXkEyXkFqcGdeQXVyMTMxODk2OTU@._V1_UY209_CR7,0,140,209_AL_.jpg'&gt;&lt;/td&gt;&lt;td class='beschreibung'&gt;&lt;strong&gt;12 Tage&lt;/strong&gt;&lt;br&gt;Jahr: 2017&lt;br&gt;Filmmusik&lt;br&gt;Rolle: Komponent&lt;br&gt;Typ: Dokumentarfilm&lt;br&gt;&lt;a href='https://www.imdb.com/title/tt6777114/?ref_=nm_flmg_com_17'&gt;Link&lt;/a&gt;&lt;/td&gt;&lt;/tr&gt;</v>
      </c>
    </row>
    <row r="19" spans="1:9" x14ac:dyDescent="0.25">
      <c r="A19" t="s">
        <v>822</v>
      </c>
      <c r="B19" t="s">
        <v>1</v>
      </c>
      <c r="C19" t="s">
        <v>0</v>
      </c>
      <c r="D19" t="s">
        <v>206</v>
      </c>
      <c r="E19" t="s">
        <v>667</v>
      </c>
      <c r="F19" t="s">
        <v>668</v>
      </c>
      <c r="G19" t="s">
        <v>22</v>
      </c>
      <c r="H19" t="str">
        <f t="shared" si="1"/>
        <v>tt1734135</v>
      </c>
      <c r="I19" t="str">
        <f t="shared" si="0"/>
        <v>&lt;tr class='rowfilm'&gt;&lt;td class='film'&gt;&lt;img src='https://m.media-amazon.com/images/M/MV5BN2Y2YWE0ZDMtNzQzMC00MDI0LThlZjAtMWY4YjZlYWM2OWFjXkEyXkFqcGdeQXVyMTMxODk2OTU@._V1_UY209_CR0,0,140,209_AL_.jpg'&gt;&lt;/td&gt;&lt;td class='beschreibung'&gt;&lt;strong&gt;Trolljäger&lt;/strong&gt;&lt;br&gt;Jahr: 2016&lt;br&gt;Filmmusik&lt;br&gt;Rolle: Komponent&lt;br&gt;Typ: TV Serie&lt;br&gt;&lt;a href='https://www.imdb.com/title/tt1734135/?ref_=nm_flmg_com_18'&gt;Link&lt;/a&gt;&lt;/td&gt;&lt;/tr&gt;</v>
      </c>
    </row>
    <row r="20" spans="1:9" x14ac:dyDescent="0.25">
      <c r="A20" t="s">
        <v>824</v>
      </c>
      <c r="B20" t="s">
        <v>1</v>
      </c>
      <c r="C20" t="s">
        <v>0</v>
      </c>
      <c r="D20" t="s">
        <v>206</v>
      </c>
      <c r="E20" t="s">
        <v>743</v>
      </c>
      <c r="F20" t="s">
        <v>207</v>
      </c>
      <c r="G20" t="s">
        <v>23</v>
      </c>
      <c r="H20" t="str">
        <f t="shared" si="1"/>
        <v>tt0376479</v>
      </c>
      <c r="I20" t="str">
        <f t="shared" si="0"/>
        <v>&lt;tr class='rowfilm'&gt;&lt;td class='film'&gt;&lt;img src='https://m.media-amazon.com/images/M/MV5BMjMyMDc3MzUxNl5BMl5BanBnXkFtZTgwOTQ0NjIzMDI@._V1_UX140_CR0,0,140,209_AL_.jpg'&gt;&lt;/td&gt;&lt;td class='beschreibung'&gt;&lt;strong&gt;Amerikanisches Idyll&lt;/strong&gt;&lt;br&gt;Jahr: 2016&lt;br&gt;Filmmusik&lt;br&gt;Rolle: Komponent&lt;br&gt;Typ: Kinofilm&lt;br&gt;&lt;a href='https://www.imdb.com/title/tt0376479/?ref_=nm_flmg_com_19'&gt;Link&lt;/a&gt;&lt;/td&gt;&lt;/tr&gt;</v>
      </c>
    </row>
    <row r="21" spans="1:9" x14ac:dyDescent="0.25">
      <c r="A21" t="s">
        <v>348</v>
      </c>
      <c r="B21" t="s">
        <v>1</v>
      </c>
      <c r="C21" t="s">
        <v>0</v>
      </c>
      <c r="D21" t="s">
        <v>206</v>
      </c>
      <c r="E21" t="s">
        <v>743</v>
      </c>
      <c r="F21" t="s">
        <v>208</v>
      </c>
      <c r="G21" t="s">
        <v>24</v>
      </c>
      <c r="H21" t="str">
        <f t="shared" si="1"/>
        <v>tt5096536</v>
      </c>
      <c r="I21" t="str">
        <f t="shared" si="0"/>
        <v>&lt;tr class='rowfilm'&gt;&lt;td class='film'&gt;&lt;img src='https://m.media-amazon.com/images/M/MV5BMzBmYWY2MjAtZDY3Ni00Nzc3LTlhOTEtNjg5NTAyNzlkYmQ5XkEyXkFqcGdeQXVyMjUzMTYzMDI@._V1_UY209_CR0,0,140,209_AL_.jpg'&gt;&lt;/td&gt;&lt;td class='beschreibung'&gt;&lt;strong&gt;Die Lebenden reparieren&lt;/strong&gt;&lt;br&gt;Jahr: 2016&lt;br&gt;Filmmusik&lt;br&gt;Rolle: Komponent&lt;br&gt;Typ: Kinofilm&lt;br&gt;&lt;a href='https://www.imdb.com/title/tt5096536/?ref_=nm_flmg_com_20'&gt;Link&lt;/a&gt;&lt;/td&gt;&lt;/tr&gt;</v>
      </c>
    </row>
    <row r="22" spans="1:9" x14ac:dyDescent="0.25">
      <c r="A22" t="s">
        <v>821</v>
      </c>
      <c r="B22" t="s">
        <v>1</v>
      </c>
      <c r="C22" t="s">
        <v>0</v>
      </c>
      <c r="D22" t="s">
        <v>206</v>
      </c>
      <c r="E22" t="s">
        <v>743</v>
      </c>
      <c r="F22" t="s">
        <v>209</v>
      </c>
      <c r="G22" t="s">
        <v>25</v>
      </c>
      <c r="H22" t="str">
        <f t="shared" si="1"/>
        <v>tt2547584</v>
      </c>
      <c r="I22" t="str">
        <f t="shared" si="0"/>
        <v>&lt;tr class='rowfilm'&gt;&lt;td class='film'&gt;&lt;img src='https://m.media-amazon.com/images/M/MV5BNTI1NzQzMjgxOF5BMl5BanBnXkFtZTgwOTY1OTY2OTE@._V1_UY209_CR0,0,140,209_AL_.jpg'&gt;&lt;/td&gt;&lt;td class='beschreibung'&gt;&lt;strong&gt;Liebe zwischen den Meeren&lt;/strong&gt;&lt;br&gt;Jahr: 2016&lt;br&gt;Filmmusik&lt;br&gt;Rolle: Komponent&lt;br&gt;Typ: Kinofilm&lt;br&gt;&lt;a href='https://www.imdb.com/title/tt2547584/?ref_=nm_flmg_com_21'&gt;Link&lt;/a&gt;&lt;/td&gt;&lt;/tr&gt;</v>
      </c>
    </row>
    <row r="23" spans="1:9" x14ac:dyDescent="0.25">
      <c r="A23" t="s">
        <v>819</v>
      </c>
      <c r="B23" t="s">
        <v>1</v>
      </c>
      <c r="C23" t="s">
        <v>0</v>
      </c>
      <c r="D23" t="s">
        <v>206</v>
      </c>
      <c r="E23" t="s">
        <v>743</v>
      </c>
      <c r="F23" t="s">
        <v>681</v>
      </c>
      <c r="G23" t="s">
        <v>26</v>
      </c>
      <c r="H23" t="str">
        <f t="shared" si="1"/>
        <v>tt2709768</v>
      </c>
      <c r="I23" t="str">
        <f t="shared" si="0"/>
        <v>&lt;tr class='rowfilm'&gt;&lt;td class='film'&gt;&lt;img src='https://m.media-amazon.com/images/M/MV5BMjIzMzA1OTkzNV5BMl5BanBnXkFtZTgwODE3MjM4NzE@._V1_UX140_CR0,0,140,209_AL_.jpg'&gt;&lt;/td&gt;&lt;td class='beschreibung'&gt;&lt;strong&gt;Pets&lt;/strong&gt;&lt;br&gt;Jahr: 2016&lt;br&gt;Filmmusik&lt;br&gt;Rolle: Komponent&lt;br&gt;Typ: Kinofilm&lt;br&gt;&lt;a href='https://www.imdb.com/title/tt2709768/?ref_=nm_flmg_com_22'&gt;Link&lt;/a&gt;&lt;/td&gt;&lt;/tr&gt;</v>
      </c>
    </row>
    <row r="24" spans="1:9" x14ac:dyDescent="0.25">
      <c r="A24" t="s">
        <v>826</v>
      </c>
      <c r="B24" t="s">
        <v>1</v>
      </c>
      <c r="C24" t="s">
        <v>0</v>
      </c>
      <c r="D24" t="s">
        <v>206</v>
      </c>
      <c r="E24" t="s">
        <v>667</v>
      </c>
      <c r="F24" t="s">
        <v>669</v>
      </c>
      <c r="G24" t="s">
        <v>27</v>
      </c>
      <c r="H24" t="str">
        <f t="shared" si="1"/>
        <v>tt4003966</v>
      </c>
      <c r="I24" t="str">
        <f t="shared" si="0"/>
        <v>&lt;tr class='rowfilm'&gt;&lt;td class='film'&gt;&lt;img src='https://m.media-amazon.com/images/M/MV5BMjMwNTY0NjU5N15BMl5BanBnXkFtZTgwODYyNzc3NDM@._V1_UY209_CR1,0,140,209_AL_.jpg'&gt;&lt;/td&gt;&lt;td class='beschreibung'&gt;&lt;strong&gt;Marseille&lt;/strong&gt;&lt;br&gt;Jahr: 2016&lt;br&gt;Filmmusik&lt;br&gt;Rolle: Komponent&lt;br&gt;Typ: TV Serie&lt;br&gt;&lt;a href='https://www.imdb.com/title/tt4003966/?ref_=nm_flmg_com_23'&gt;Link&lt;/a&gt;&lt;/td&gt;&lt;/tr&gt;</v>
      </c>
    </row>
    <row r="25" spans="1:9" x14ac:dyDescent="0.25">
      <c r="A25" t="s">
        <v>832</v>
      </c>
      <c r="B25" t="s">
        <v>1</v>
      </c>
      <c r="C25" t="s">
        <v>0</v>
      </c>
      <c r="D25" t="s">
        <v>206</v>
      </c>
      <c r="E25" t="s">
        <v>701</v>
      </c>
      <c r="F25" t="s">
        <v>703</v>
      </c>
      <c r="G25" t="s">
        <v>28</v>
      </c>
      <c r="H25" t="str">
        <f t="shared" si="1"/>
        <v>tt4857622</v>
      </c>
      <c r="I25" t="str">
        <f t="shared" si="0"/>
        <v>&lt;tr class='rowfilm'&gt;&lt;td class='film'&gt;&lt;img src='https://m.media-amazon.com/images/M/MV5BMjY5ZjI0ODYtYTU2MC00YjE5LTkxNWYtMTJjODQ1Y2MwZWQxXkEyXkFqcGdeQXVyMTY4Mjk3MzE@._V1_UY209_CR7,0,140,209_AL_.jpg'&gt;&lt;/td&gt;&lt;td class='beschreibung'&gt;&lt;strong&gt;Les habitants&lt;/strong&gt;&lt;br&gt;Jahr: 2016&lt;br&gt;Filmmusik&lt;br&gt;Rolle: Komponent&lt;br&gt;Typ: Dokumentarfilm&lt;br&gt;&lt;a href='https://www.imdb.com/title/tt4857622/?ref_=nm_flmg_com_24'&gt;Link&lt;/a&gt;&lt;/td&gt;&lt;/tr&gt;</v>
      </c>
    </row>
    <row r="26" spans="1:9" x14ac:dyDescent="0.25">
      <c r="A26" t="s">
        <v>823</v>
      </c>
      <c r="B26" t="s">
        <v>1</v>
      </c>
      <c r="C26" t="s">
        <v>0</v>
      </c>
      <c r="D26" t="s">
        <v>206</v>
      </c>
      <c r="E26" t="s">
        <v>743</v>
      </c>
      <c r="F26" t="s">
        <v>210</v>
      </c>
      <c r="G26" t="s">
        <v>29</v>
      </c>
      <c r="H26" t="str">
        <f t="shared" si="1"/>
        <v>tt4136084</v>
      </c>
      <c r="I26" t="str">
        <f t="shared" si="0"/>
        <v>&lt;tr class='rowfilm'&gt;&lt;td class='film'&gt;&lt;img src='https://m.media-amazon.com/images/M/MV5BMjA0Mzc4MjMxMl5BMl5BanBnXkFtZTgwODIwNTQxODE@._V1_UY209_CR1,0,140,209_AL_.jpg'&gt;&lt;/td&gt;&lt;td class='beschreibung'&gt;&lt;strong&gt;Florence Foster Jenkins&lt;/strong&gt;&lt;br&gt;Jahr: 2016&lt;br&gt;Filmmusik&lt;br&gt;Rolle: Komponent&lt;br&gt;Typ: Kinofilm&lt;br&gt;&lt;a href='https://www.imdb.com/title/tt4136084/?ref_=nm_flmg_com_25'&gt;Link&lt;/a&gt;&lt;/td&gt;&lt;/tr&gt;</v>
      </c>
    </row>
    <row r="27" spans="1:9" x14ac:dyDescent="0.25">
      <c r="A27" t="s">
        <v>868</v>
      </c>
      <c r="B27" t="s">
        <v>1</v>
      </c>
      <c r="C27" t="s">
        <v>0</v>
      </c>
      <c r="D27" t="s">
        <v>206</v>
      </c>
      <c r="E27" t="s">
        <v>743</v>
      </c>
      <c r="F27" t="s">
        <v>710</v>
      </c>
      <c r="G27" t="s">
        <v>30</v>
      </c>
      <c r="H27" t="str">
        <f t="shared" si="1"/>
        <v>tt1212790</v>
      </c>
      <c r="I27" t="str">
        <f t="shared" si="0"/>
        <v>&lt;tr class='rowfilm'&gt;&lt;td class='film'&gt;&lt;img src=' https://m.media-amazon.com/images/G/01/imdb/images/nopicture/140x209/film-4001654135._CB466678728_.png'&gt;&lt;/td&gt;&lt;td class='beschreibung'&gt;&lt;strong&gt;The Arrival&lt;/strong&gt;&lt;br&gt;Jahr: 2016&lt;br&gt;Filmmusik&lt;br&gt;Rolle: Komponent&lt;br&gt;Typ: Kinofilm&lt;br&gt;&lt;a href='https://www.imdb.com/title/tt12127904/?ref_=nm_flmg_com_26'&gt;Link&lt;/a&gt;&lt;/td&gt;&lt;/tr&gt;</v>
      </c>
    </row>
    <row r="28" spans="1:9" x14ac:dyDescent="0.25">
      <c r="A28" t="s">
        <v>825</v>
      </c>
      <c r="B28" t="s">
        <v>1</v>
      </c>
      <c r="C28" t="s">
        <v>0</v>
      </c>
      <c r="D28" t="s">
        <v>206</v>
      </c>
      <c r="E28" t="s">
        <v>743</v>
      </c>
      <c r="F28" t="s">
        <v>211</v>
      </c>
      <c r="G28" t="s">
        <v>31</v>
      </c>
      <c r="H28" t="str">
        <f t="shared" si="1"/>
        <v>tt3026488</v>
      </c>
      <c r="I28" t="str">
        <f t="shared" si="0"/>
        <v>&lt;tr class='rowfilm'&gt;&lt;td class='film'&gt;&lt;img src='https://m.media-amazon.com/images/M/MV5BMjEyZmQxOGYtYTk3MS00Njg3LWEwOWItYjFhYzVkNDhkMzYxXkEyXkFqcGdeQXVyMzA3Njg4MzY@._V1_UY209_CR0,0,140,209_AL_.jpg'&gt;&lt;/td&gt;&lt;td class='beschreibung'&gt;&lt;strong&gt;Jeder stirbt für sich allein&lt;/strong&gt;&lt;br&gt;Jahr: 2016&lt;br&gt;Filmmusik&lt;br&gt;Rolle: Komponent&lt;br&gt;Typ: Kinofilm&lt;br&gt;&lt;a href='https://www.imdb.com/title/tt3026488/?ref_=nm_flmg_com_27'&gt;Link&lt;/a&gt;&lt;/td&gt;&lt;/tr&gt;</v>
      </c>
    </row>
    <row r="29" spans="1:9" x14ac:dyDescent="0.25">
      <c r="A29" t="s">
        <v>827</v>
      </c>
      <c r="B29" t="s">
        <v>1</v>
      </c>
      <c r="C29" t="s">
        <v>0</v>
      </c>
      <c r="D29" t="s">
        <v>206</v>
      </c>
      <c r="E29" t="s">
        <v>743</v>
      </c>
      <c r="F29" t="s">
        <v>212</v>
      </c>
      <c r="G29" t="s">
        <v>32</v>
      </c>
      <c r="H29" t="str">
        <f t="shared" si="1"/>
        <v>tt1659619</v>
      </c>
      <c r="I29" t="str">
        <f t="shared" si="0"/>
        <v>&lt;tr class='rowfilm'&gt;&lt;td class='film'&gt;&lt;img src='https://m.media-amazon.com/images/M/MV5BYzdjZGI3YjItMjM0OS00MGM3LWJhMGUtZGIxM2ZjODBmMTZkXkEyXkFqcGdeQXVyMTMxODk2OTU@._V1_UX140_CR0,0,140,209_AL_.jpg'&gt;&lt;/td&gt;&lt;td class='beschreibung'&gt;&lt;strong&gt;Jacques - Entdecker der Ozeane&lt;/strong&gt;&lt;br&gt;Jahr: 2016&lt;br&gt;Filmmusik&lt;br&gt;Rolle: Komponent&lt;br&gt;Typ: Kinofilm&lt;br&gt;&lt;a href='https://www.imdb.com/title/tt1659619/?ref_=nm_flmg_com_28'&gt;Link&lt;/a&gt;&lt;/td&gt;&lt;/tr&gt;</v>
      </c>
    </row>
    <row r="30" spans="1:9" x14ac:dyDescent="0.25">
      <c r="A30" t="s">
        <v>868</v>
      </c>
      <c r="B30" t="s">
        <v>1</v>
      </c>
      <c r="C30" t="s">
        <v>0</v>
      </c>
      <c r="D30" t="s">
        <v>213</v>
      </c>
      <c r="E30" t="s">
        <v>743</v>
      </c>
      <c r="F30" t="s">
        <v>686</v>
      </c>
      <c r="G30" t="s">
        <v>33</v>
      </c>
      <c r="H30" t="str">
        <f t="shared" si="1"/>
        <v>tt1083154</v>
      </c>
      <c r="I30" t="str">
        <f t="shared" si="0"/>
        <v>&lt;tr class='rowfilm'&gt;&lt;td class='film'&gt;&lt;img src=' https://m.media-amazon.com/images/G/01/imdb/images/nopicture/140x209/film-4001654135._CB466678728_.png'&gt;&lt;/td&gt;&lt;td class='beschreibung'&gt;&lt;strong&gt;The Wes Anderson Collection: The Grand Budapest Hotel&lt;/strong&gt;&lt;br&gt;Jahr: 2015&lt;br&gt;Filmmusik&lt;br&gt;Rolle: Komponent&lt;br&gt;Typ: Kinofilm&lt;br&gt;&lt;a href='https://www.imdb.com/title/tt10831544/?ref_=nm_flmg_com_29'&gt;Link&lt;/a&gt;&lt;/td&gt;&lt;/tr&gt;</v>
      </c>
    </row>
    <row r="31" spans="1:9" x14ac:dyDescent="0.25">
      <c r="A31" t="s">
        <v>839</v>
      </c>
      <c r="B31" t="s">
        <v>1</v>
      </c>
      <c r="C31" t="s">
        <v>0</v>
      </c>
      <c r="D31" t="s">
        <v>213</v>
      </c>
      <c r="E31" t="s">
        <v>743</v>
      </c>
      <c r="F31" t="s">
        <v>214</v>
      </c>
      <c r="G31" t="s">
        <v>34</v>
      </c>
      <c r="H31" t="str">
        <f t="shared" si="1"/>
        <v>tt0810819</v>
      </c>
      <c r="I31" t="str">
        <f t="shared" si="0"/>
        <v>&lt;tr class='rowfilm'&gt;&lt;td class='film'&gt;&lt;img src='https://m.media-amazon.com/images/M/MV5BMjA0NjA4NjE2Nl5BMl5BanBnXkFtZTgwNzIxNTY2NjE@._V1_UY209_CR0,0,140,209_AL_.jpg'&gt;&lt;/td&gt;&lt;td class='beschreibung'&gt;&lt;strong&gt;The Danish Girl&lt;/strong&gt;&lt;br&gt;Jahr: 2015&lt;br&gt;Filmmusik&lt;br&gt;Rolle: Komponent&lt;br&gt;Typ: Kinofilm&lt;br&gt;&lt;a href='https://www.imdb.com/title/tt0810819/?ref_=nm_flmg_com_30'&gt;Link&lt;/a&gt;&lt;/td&gt;&lt;/tr&gt;</v>
      </c>
    </row>
    <row r="32" spans="1:9" x14ac:dyDescent="0.25">
      <c r="A32" t="s">
        <v>840</v>
      </c>
      <c r="B32" t="s">
        <v>1</v>
      </c>
      <c r="C32" t="s">
        <v>0</v>
      </c>
      <c r="D32" t="s">
        <v>213</v>
      </c>
      <c r="E32" t="s">
        <v>743</v>
      </c>
      <c r="F32" t="s">
        <v>215</v>
      </c>
      <c r="G32" t="s">
        <v>35</v>
      </c>
      <c r="H32" t="str">
        <f t="shared" si="1"/>
        <v>tt3077214</v>
      </c>
      <c r="I32" t="str">
        <f t="shared" si="0"/>
        <v>&lt;tr class='rowfilm'&gt;&lt;td class='film'&gt;&lt;img src='https://m.media-amazon.com/images/M/MV5BMjA2NDYxOTI1MV5BMl5BanBnXkFtZTgwOTgyMjU3NjE@._V1_UY209_CR0,0,140,209_AL_.jpg'&gt;&lt;/td&gt;&lt;td class='beschreibung'&gt;&lt;strong&gt;Suffragette: Taten statt Worte&lt;/strong&gt;&lt;br&gt;Jahr: 2015&lt;br&gt;Filmmusik&lt;br&gt;Rolle: Komponent&lt;br&gt;Typ: Kinofilm&lt;br&gt;&lt;a href='https://www.imdb.com/title/tt3077214/?ref_=nm_flmg_com_31'&gt;Link&lt;/a&gt;&lt;/td&gt;&lt;/tr&gt;</v>
      </c>
    </row>
    <row r="33" spans="1:9" x14ac:dyDescent="0.25">
      <c r="A33" t="s">
        <v>844</v>
      </c>
      <c r="B33" t="s">
        <v>1</v>
      </c>
      <c r="C33" t="s">
        <v>0</v>
      </c>
      <c r="D33" t="s">
        <v>213</v>
      </c>
      <c r="E33" t="s">
        <v>743</v>
      </c>
      <c r="F33" t="s">
        <v>216</v>
      </c>
      <c r="G33" t="s">
        <v>36</v>
      </c>
      <c r="H33" t="str">
        <f t="shared" si="1"/>
        <v>tt4062208</v>
      </c>
      <c r="I33" t="str">
        <f t="shared" si="0"/>
        <v>&lt;tr class='rowfilm'&gt;&lt;td class='film'&gt;&lt;img src='https://m.media-amazon.com/images/M/MV5BODczMTdlYzktYmU0MC00OWZlLTkxZGQtYjIyNWVjMDI1Y2VkXkEyXkFqcGdeQXVyNDA1MjIxMA@@._V1_UY209_CR4,0,140,209_AL_.jpg'&gt;&lt;/td&gt;&lt;td class='beschreibung'&gt;&lt;strong&gt;Une histoire de fou&lt;/strong&gt;&lt;br&gt;Jahr: 2015&lt;br&gt;Filmmusik&lt;br&gt;Rolle: Komponent&lt;br&gt;Typ: Kinofilm&lt;br&gt;&lt;a href='https://www.imdb.com/title/tt4062208/?ref_=nm_flmg_com_32'&gt;Link&lt;/a&gt;&lt;/td&gt;&lt;/tr&gt;</v>
      </c>
    </row>
    <row r="34" spans="1:9" x14ac:dyDescent="0.25">
      <c r="A34" t="s">
        <v>841</v>
      </c>
      <c r="B34" t="s">
        <v>1</v>
      </c>
      <c r="C34" t="s">
        <v>0</v>
      </c>
      <c r="D34" t="s">
        <v>213</v>
      </c>
      <c r="E34" t="s">
        <v>743</v>
      </c>
      <c r="F34" t="s">
        <v>711</v>
      </c>
      <c r="G34" t="s">
        <v>37</v>
      </c>
      <c r="H34" t="str">
        <f t="shared" si="1"/>
        <v>tt3278330</v>
      </c>
      <c r="I34" t="str">
        <f t="shared" si="0"/>
        <v>&lt;tr class='rowfilm'&gt;&lt;td class='film'&gt;&lt;img src='https://m.media-amazon.com/images/M/MV5BOTBiY2U2MTctNTA4Ni00MDBkLTk5MjItZWUxNDk5YmFlMTliL2ltYWdlXkEyXkFqcGdeQXVyNDUxNjc5NjY@._V1_UY209_CR3,0,140,209_AL_.jpg'&gt;&lt;/td&gt;&lt;td class='beschreibung'&gt;&lt;strong&gt;Das Märchen der Märchen&lt;/strong&gt;&lt;br&gt;Jahr: 2015&lt;br&gt;Filmmusik&lt;br&gt;Rolle: Komponent&lt;br&gt;Typ: Kinofilm&lt;br&gt;&lt;a href='https://www.imdb.com/title/tt3278330/?ref_=nm_flmg_com_33'&gt;Link&lt;/a&gt;&lt;/td&gt;&lt;/tr&gt;</v>
      </c>
    </row>
    <row r="35" spans="1:9" x14ac:dyDescent="0.25">
      <c r="A35" t="s">
        <v>842</v>
      </c>
      <c r="B35" t="s">
        <v>1</v>
      </c>
      <c r="C35" t="s">
        <v>0</v>
      </c>
      <c r="D35" t="s">
        <v>213</v>
      </c>
      <c r="E35" t="s">
        <v>743</v>
      </c>
      <c r="F35" t="s">
        <v>217</v>
      </c>
      <c r="G35" t="s">
        <v>38</v>
      </c>
      <c r="H35" t="str">
        <f t="shared" si="1"/>
        <v>tt1707380</v>
      </c>
      <c r="I35" t="str">
        <f t="shared" si="0"/>
        <v>&lt;tr class='rowfilm'&gt;&lt;td class='film'&gt;&lt;img src='https://m.media-amazon.com/images/M/MV5BNzQ2OTg1MTYwOF5BMl5BanBnXkFtZTgwMTY3MDA2NjE@._V1_UY209_CR2,0,140,209_AL_.jpg'&gt;&lt;/td&gt;&lt;td class='beschreibung'&gt;&lt;strong&gt;Every Thing Will Be Fine&lt;/strong&gt;&lt;br&gt;Jahr: 2015&lt;br&gt;Filmmusik&lt;br&gt;Rolle: Komponent&lt;br&gt;Typ: Kinofilm&lt;br&gt;&lt;a href='https://www.imdb.com/title/tt1707380/?ref_=nm_flmg_com_34'&gt;Link&lt;/a&gt;&lt;/td&gt;&lt;/tr&gt;</v>
      </c>
    </row>
    <row r="36" spans="1:9" x14ac:dyDescent="0.25">
      <c r="A36" t="s">
        <v>852</v>
      </c>
      <c r="B36" t="s">
        <v>1</v>
      </c>
      <c r="C36" t="s">
        <v>0</v>
      </c>
      <c r="D36" t="s">
        <v>218</v>
      </c>
      <c r="E36" t="s">
        <v>743</v>
      </c>
      <c r="F36" t="s">
        <v>712</v>
      </c>
      <c r="G36" t="s">
        <v>39</v>
      </c>
      <c r="H36" t="str">
        <f t="shared" si="1"/>
        <v>tt1809398</v>
      </c>
      <c r="I36" t="str">
        <f t="shared" si="0"/>
        <v>&lt;tr class='rowfilm'&gt;&lt;td class='film'&gt;&lt;img src='https://m.media-amazon.com/images/M/MV5BMTY3ODg2OTgyOF5BMl5BanBnXkFtZTgwODk1OTAwMzE@._V1_UX140_CR0,0,140,209_AL_.jpg'&gt;&lt;/td&gt;&lt;td class='beschreibung'&gt;&lt;strong&gt;Unbroken&lt;/strong&gt;&lt;br&gt;Jahr: 2014&lt;br&gt;Filmmusik&lt;br&gt;Rolle: Komponent&lt;br&gt;Typ: Kinofilm&lt;br&gt;&lt;a href='https://www.imdb.com/title/tt1809398/?ref_=nm_flmg_com_35'&gt;Link&lt;/a&gt;&lt;/td&gt;&lt;/tr&gt;</v>
      </c>
    </row>
    <row r="37" spans="1:9" x14ac:dyDescent="0.25">
      <c r="A37" t="s">
        <v>851</v>
      </c>
      <c r="B37" t="s">
        <v>1</v>
      </c>
      <c r="C37" t="s">
        <v>0</v>
      </c>
      <c r="D37" t="s">
        <v>218</v>
      </c>
      <c r="E37" t="s">
        <v>743</v>
      </c>
      <c r="F37" t="s">
        <v>219</v>
      </c>
      <c r="G37" t="s">
        <v>40</v>
      </c>
      <c r="H37" t="str">
        <f t="shared" si="1"/>
        <v>tt2084970</v>
      </c>
      <c r="I37" t="str">
        <f t="shared" si="0"/>
        <v>&lt;tr class='rowfilm'&gt;&lt;td class='film'&gt;&lt;img src='https://m.media-amazon.com/images/M/MV5BOTgwMzFiMWYtZDhlNS00ODNkLWJiODAtZDVhNzgyNzJhYjQ4L2ltYWdlXkEyXkFqcGdeQXVyNzEzOTYxNTQ@._V1_UY209_CR0,0,140,209_AL_.jpg'&gt;&lt;/td&gt;&lt;td class='beschreibung'&gt;&lt;strong&gt;The Imitation Game - Ein streng geheimes Leben&lt;/strong&gt;&lt;br&gt;Jahr: 2014&lt;br&gt;Filmmusik&lt;br&gt;Rolle: Komponent&lt;br&gt;Typ: Kinofilm&lt;br&gt;&lt;a href='https://www.imdb.com/title/tt2084970/?ref_=nm_flmg_com_36'&gt;Link&lt;/a&gt;&lt;/td&gt;&lt;/tr&gt;</v>
      </c>
    </row>
    <row r="38" spans="1:9" x14ac:dyDescent="0.25">
      <c r="A38" t="s">
        <v>853</v>
      </c>
      <c r="B38" t="s">
        <v>1</v>
      </c>
      <c r="C38" t="s">
        <v>0</v>
      </c>
      <c r="D38" t="s">
        <v>218</v>
      </c>
      <c r="E38" t="s">
        <v>743</v>
      </c>
      <c r="F38" t="s">
        <v>220</v>
      </c>
      <c r="G38" t="s">
        <v>41</v>
      </c>
      <c r="H38" t="str">
        <f t="shared" si="1"/>
        <v>tt0831387</v>
      </c>
      <c r="I38" t="str">
        <f t="shared" si="0"/>
        <v>&lt;tr class='rowfilm'&gt;&lt;td class='film'&gt;&lt;img src='https://m.media-amazon.com/images/M/MV5BN2E4ZDgxN2YtZjExMS00MWE5LTg3NjQtNTkxMzJhOTA3MDQ4XkEyXkFqcGdeQXVyMTQxNzMzNDI@._V1_UY209_CR0,0,140,209_AL_.jpg'&gt;&lt;/td&gt;&lt;td class='beschreibung'&gt;&lt;strong&gt;Godzilla&lt;/strong&gt;&lt;br&gt;Jahr: 2014&lt;br&gt;Filmmusik&lt;br&gt;Rolle: Komponent&lt;br&gt;Typ: Kinofilm&lt;br&gt;&lt;a href='https://www.imdb.com/title/tt0831387/?ref_=nm_flmg_com_37'&gt;Link&lt;/a&gt;&lt;/td&gt;&lt;/tr&gt;</v>
      </c>
    </row>
    <row r="39" spans="1:9" x14ac:dyDescent="0.25">
      <c r="A39" t="s">
        <v>850</v>
      </c>
      <c r="B39" t="s">
        <v>1</v>
      </c>
      <c r="C39" t="s">
        <v>0</v>
      </c>
      <c r="D39" t="s">
        <v>218</v>
      </c>
      <c r="E39" t="s">
        <v>743</v>
      </c>
      <c r="F39" t="s">
        <v>221</v>
      </c>
      <c r="G39" t="s">
        <v>42</v>
      </c>
      <c r="H39" t="str">
        <f t="shared" si="1"/>
        <v>tt2278388</v>
      </c>
      <c r="I39" t="str">
        <f t="shared" si="0"/>
        <v>&lt;tr class='rowfilm'&gt;&lt;td class='film'&gt;&lt;img src='https://m.media-amazon.com/images/M/MV5BMzM5NjUxOTEyMl5BMl5BanBnXkFtZTgwNjEyMDM0MDE@._V1_UY209_CR0,0,140,209_AL_.jpg'&gt;&lt;/td&gt;&lt;td class='beschreibung'&gt;&lt;strong&gt;Grand Budapest Hotel&lt;/strong&gt;&lt;br&gt;Jahr: 2014&lt;br&gt;Filmmusik&lt;br&gt;Rolle: Komponent&lt;br&gt;Typ: Kinofilm&lt;br&gt;&lt;a href='https://www.imdb.com/title/tt2278388/?ref_=nm_flmg_com_38'&gt;Link&lt;/a&gt;&lt;/td&gt;&lt;/tr&gt;</v>
      </c>
    </row>
    <row r="40" spans="1:9" x14ac:dyDescent="0.25">
      <c r="A40" t="s">
        <v>855</v>
      </c>
      <c r="B40" t="s">
        <v>1</v>
      </c>
      <c r="C40" t="s">
        <v>0</v>
      </c>
      <c r="D40" t="s">
        <v>218</v>
      </c>
      <c r="E40" t="s">
        <v>743</v>
      </c>
      <c r="F40" t="s">
        <v>344</v>
      </c>
      <c r="G40" t="s">
        <v>43</v>
      </c>
      <c r="H40" t="str">
        <f t="shared" si="1"/>
        <v>tt2177771</v>
      </c>
      <c r="I40" t="str">
        <f t="shared" si="0"/>
        <v>&lt;tr class='rowfilm'&gt;&lt;td class='film'&gt;&lt;img src='https://m.media-amazon.com/images/M/MV5BMjMxMjk4NTM1M15BMl5BanBnXkFtZTgwNjg0MjQ3MDE@._V1_UY209_CR0,0,140,209_AL_.jpg'&gt;&lt;/td&gt;&lt;td class='beschreibung'&gt;&lt;strong&gt;Monuments Men: Ungewöhnliche Helden&lt;/strong&gt;&lt;br&gt;Jahr: 2014&lt;br&gt;Filmmusik&lt;br&gt;Rolle: Komponent&lt;br&gt;Typ: Kinofilm&lt;br&gt;&lt;a href='https://www.imdb.com/title/tt2177771/?ref_=nm_flmg_com_39'&gt;Link&lt;/a&gt;&lt;/td&gt;&lt;/tr&gt;</v>
      </c>
    </row>
    <row r="41" spans="1:9" x14ac:dyDescent="0.25">
      <c r="A41" t="s">
        <v>857</v>
      </c>
      <c r="B41" t="s">
        <v>1</v>
      </c>
      <c r="C41" t="s">
        <v>0</v>
      </c>
      <c r="D41" t="s">
        <v>218</v>
      </c>
      <c r="E41" t="s">
        <v>743</v>
      </c>
      <c r="F41" t="s">
        <v>713</v>
      </c>
      <c r="G41" t="s">
        <v>44</v>
      </c>
      <c r="H41" t="str">
        <f t="shared" si="1"/>
        <v>tt3587466</v>
      </c>
      <c r="I41" t="str">
        <f t="shared" si="0"/>
        <v>&lt;tr class='rowfilm'&gt;&lt;td class='film'&gt;&lt;img src='https://m.media-amazon.com/images/M/MV5BMTE4MTk5ZWQtN2E3YS00ZmQ5LTlhYzEtZDQ0NDQwZmQwNzBkXkEyXkFqcGdeQXVyNDU5OTMwNTE@._V1_UY209_CR4,0,140,209_AL_.jpg'&gt;&lt;/td&gt;&lt;td class='beschreibung'&gt;&lt;strong&gt;Jaguar: Rendezvous&lt;/strong&gt;&lt;br&gt;Jahr: 2014&lt;br&gt;Filmmusik&lt;br&gt;Rolle: Komponent&lt;br&gt;Typ: Kinofilm&lt;br&gt;&lt;a href='https://www.imdb.com/title/tt3587466/?ref_=nm_flmg_com_40'&gt;Link&lt;/a&gt;&lt;/td&gt;&lt;/tr&gt;</v>
      </c>
    </row>
    <row r="42" spans="1:9" x14ac:dyDescent="0.25">
      <c r="A42" t="s">
        <v>861</v>
      </c>
      <c r="B42" t="s">
        <v>1</v>
      </c>
      <c r="C42" t="s">
        <v>0</v>
      </c>
      <c r="D42" t="s">
        <v>222</v>
      </c>
      <c r="E42" t="s">
        <v>743</v>
      </c>
      <c r="F42" t="s">
        <v>223</v>
      </c>
      <c r="G42" t="s">
        <v>45</v>
      </c>
      <c r="H42" t="str">
        <f t="shared" si="1"/>
        <v>tt2431286</v>
      </c>
      <c r="I42" t="str">
        <f t="shared" si="0"/>
        <v>&lt;tr class='rowfilm'&gt;&lt;td class='film'&gt;&lt;img src='https://m.media-amazon.com/images/M/MV5BMjA5ODgyNzcxMV5BMl5BanBnXkFtZTgwMzkzOTYzMDE@._V1_UY209_CR0,0,140,209_AL_.jpg'&gt;&lt;/td&gt;&lt;td class='beschreibung'&gt;&lt;strong&gt;Philomena: Eine Mutter sucht ihren Sohn&lt;/strong&gt;&lt;br&gt;Jahr: 2013&lt;br&gt;Filmmusik&lt;br&gt;Rolle: Komponent&lt;br&gt;Typ: Kinofilm&lt;br&gt;&lt;a href='https://www.imdb.com/title/tt2431286/?ref_=nm_flmg_com_41'&gt;Link&lt;/a&gt;&lt;/td&gt;&lt;/tr&gt;</v>
      </c>
    </row>
    <row r="43" spans="1:9" x14ac:dyDescent="0.25">
      <c r="A43" t="s">
        <v>863</v>
      </c>
      <c r="B43" t="s">
        <v>1</v>
      </c>
      <c r="C43" t="s">
        <v>0</v>
      </c>
      <c r="D43" t="s">
        <v>222</v>
      </c>
      <c r="E43" t="s">
        <v>743</v>
      </c>
      <c r="F43" t="s">
        <v>224</v>
      </c>
      <c r="G43" t="s">
        <v>46</v>
      </c>
      <c r="H43" t="str">
        <f t="shared" si="1"/>
        <v>tt1872101</v>
      </c>
      <c r="I43" t="str">
        <f t="shared" si="0"/>
        <v>&lt;tr class='rowfilm'&gt;&lt;td class='film'&gt;&lt;img src='https://m.media-amazon.com/images/M/MV5BMWY0OTQ4M2QtNTIxZS00Y2E2LWI1MGUtNzU1OGQ2MjQzZmUyXkEyXkFqcGdeQXVyNzQzNzQxNzI@._V1_UY209_CR7,0,140,209_AL_.jpg'&gt;&lt;/td&gt;&lt;td class='beschreibung'&gt;&lt;strong&gt;Fanny&lt;/strong&gt;&lt;br&gt;Jahr: 2013&lt;br&gt;Filmmusik&lt;br&gt;Rolle: Komponent&lt;br&gt;Typ: Kinofilm&lt;br&gt;&lt;a href='https://www.imdb.com/title/tt1872101/?ref_=nm_flmg_com_42'&gt;Link&lt;/a&gt;&lt;/td&gt;&lt;/tr&gt;</v>
      </c>
    </row>
    <row r="44" spans="1:9" x14ac:dyDescent="0.25">
      <c r="A44" t="s">
        <v>865</v>
      </c>
      <c r="B44" t="s">
        <v>1</v>
      </c>
      <c r="C44" t="s">
        <v>0</v>
      </c>
      <c r="D44" t="s">
        <v>222</v>
      </c>
      <c r="E44" t="s">
        <v>743</v>
      </c>
      <c r="F44" t="s">
        <v>225</v>
      </c>
      <c r="G44" t="s">
        <v>47</v>
      </c>
      <c r="H44" t="str">
        <f t="shared" si="1"/>
        <v>tt1872102</v>
      </c>
      <c r="I44" t="str">
        <f t="shared" si="0"/>
        <v>&lt;tr class='rowfilm'&gt;&lt;td class='film'&gt;&lt;img src='https://m.media-amazon.com/images/M/MV5BMTQ4MzAzNjM0OF5BMl5BanBnXkFtZTgwMTY1MjE0MzE@._V1_UY209_CR8,0,140,209_AL_.jpg'&gt;&lt;/td&gt;&lt;td class='beschreibung'&gt;&lt;strong&gt;Marius&lt;/strong&gt;&lt;br&gt;Jahr: 2013&lt;br&gt;Filmmusik&lt;br&gt;Rolle: Komponent&lt;br&gt;Typ: Kinofilm&lt;br&gt;&lt;a href='https://www.imdb.com/title/tt1872102/?ref_=nm_flmg_com_43'&gt;Link&lt;/a&gt;&lt;/td&gt;&lt;/tr&gt;</v>
      </c>
    </row>
    <row r="45" spans="1:9" x14ac:dyDescent="0.25">
      <c r="A45" t="s">
        <v>862</v>
      </c>
      <c r="B45" t="s">
        <v>1</v>
      </c>
      <c r="C45" t="s">
        <v>0</v>
      </c>
      <c r="D45" t="s">
        <v>222</v>
      </c>
      <c r="E45" t="s">
        <v>743</v>
      </c>
      <c r="F45" t="s">
        <v>226</v>
      </c>
      <c r="G45" t="s">
        <v>48</v>
      </c>
      <c r="H45" t="str">
        <f t="shared" si="1"/>
        <v>tt2249221</v>
      </c>
      <c r="I45" t="str">
        <f t="shared" si="0"/>
        <v>&lt;tr class='rowfilm'&gt;&lt;td class='film'&gt;&lt;img src='https://m.media-amazon.com/images/M/MV5BMjA0NjE1OTI0M15BMl5BanBnXkFtZTgwMDkyNTM3MDE@._V1_UY209_CR7,0,140,209_AL_.jpg'&gt;&lt;/td&gt;&lt;td class='beschreibung'&gt;&lt;strong&gt;Zulu&lt;/strong&gt;&lt;br&gt;Jahr: 2013&lt;br&gt;Filmmusik&lt;br&gt;Rolle: Komponent&lt;br&gt;Typ: Kinofilm&lt;br&gt;&lt;a href='https://www.imdb.com/title/tt2249221/?ref_=nm_flmg_com_44'&gt;Link&lt;/a&gt;&lt;/td&gt;&lt;/tr&gt;</v>
      </c>
    </row>
    <row r="46" spans="1:9" x14ac:dyDescent="0.25">
      <c r="A46" t="s">
        <v>860</v>
      </c>
      <c r="B46" t="s">
        <v>1</v>
      </c>
      <c r="C46" t="s">
        <v>0</v>
      </c>
      <c r="D46" t="s">
        <v>222</v>
      </c>
      <c r="E46" t="s">
        <v>743</v>
      </c>
      <c r="F46" t="s">
        <v>227</v>
      </c>
      <c r="G46" t="s">
        <v>49</v>
      </c>
      <c r="H46" t="str">
        <f t="shared" si="1"/>
        <v>tt2406252</v>
      </c>
      <c r="I46" t="str">
        <f t="shared" si="0"/>
        <v>&lt;tr class='rowfilm'&gt;&lt;td class='film'&gt;&lt;img src='https://m.media-amazon.com/images/M/MV5BMjM0ODgyOTM1Ml5BMl5BanBnXkFtZTgwMzI5ODM4MTE@._V1_UY209_CR0,0,140,209_AL_.jpg'&gt;&lt;/td&gt;&lt;td class='beschreibung'&gt;&lt;strong&gt;Venus im Pelz&lt;/strong&gt;&lt;br&gt;Jahr: 2013&lt;br&gt;Filmmusik&lt;br&gt;Rolle: Komponent&lt;br&gt;Typ: Kinofilm&lt;br&gt;&lt;a href='https://www.imdb.com/title/tt2406252/?ref_=nm_flmg_com_45'&gt;Link&lt;/a&gt;&lt;/td&gt;&lt;/tr&gt;</v>
      </c>
    </row>
    <row r="47" spans="1:9" x14ac:dyDescent="0.25">
      <c r="A47" t="s">
        <v>891</v>
      </c>
      <c r="B47" t="s">
        <v>1</v>
      </c>
      <c r="C47" t="s">
        <v>0</v>
      </c>
      <c r="D47" t="s">
        <v>222</v>
      </c>
      <c r="E47" t="s">
        <v>667</v>
      </c>
      <c r="F47" t="s">
        <v>670</v>
      </c>
      <c r="G47" t="s">
        <v>50</v>
      </c>
      <c r="H47" t="str">
        <f t="shared" si="1"/>
        <v>tt1807859</v>
      </c>
      <c r="I47" t="str">
        <f t="shared" si="0"/>
        <v>&lt;tr class='rowfilm'&gt;&lt;td class='film'&gt;&lt;img src=' https://m.media-amazon.com/images/M/MV5BNmQ0NzhjMDctMmVhMS00NTg0LWI0ZjMtMDJiNDIzOTJiYjcxXkEyXkFqcGdeQXVyODg3NDc1OTE@._V1_UX140_CR0,0,140,209_AL_.jpg'&gt;&lt;/td&gt;&lt;td class='beschreibung'&gt;&lt;strong&gt;Go Wild! - Mission Wildnis&lt;/strong&gt;&lt;br&gt;Jahr: 2013&lt;br&gt;Filmmusik&lt;br&gt;Rolle: Komponent&lt;br&gt;Typ: TV Serie&lt;br&gt;&lt;a href='https://www.imdb.com/title/tt1807859/?ref_=nm_flmg_com_46'&gt;Link&lt;/a&gt;&lt;/td&gt;&lt;/tr&gt;</v>
      </c>
    </row>
    <row r="48" spans="1:9" x14ac:dyDescent="0.25">
      <c r="A48" t="s">
        <v>873</v>
      </c>
      <c r="B48" t="s">
        <v>1</v>
      </c>
      <c r="C48" t="s">
        <v>0</v>
      </c>
      <c r="D48" t="s">
        <v>228</v>
      </c>
      <c r="E48" t="s">
        <v>743</v>
      </c>
      <c r="F48" t="s">
        <v>229</v>
      </c>
      <c r="G48" t="s">
        <v>51</v>
      </c>
      <c r="H48" t="str">
        <f t="shared" si="1"/>
        <v>tt1790885</v>
      </c>
      <c r="I48" t="str">
        <f t="shared" si="0"/>
        <v>&lt;tr class='rowfilm'&gt;&lt;td class='film'&gt;&lt;img src=' https://m.media-amazon.com/images/M/MV5BMTQ4OTUyNzcwN15BMl5BanBnXkFtZTcwMTQ1NDE3OA@@._V1_UY209_CR0,0,140,209_AL_.jpg'&gt;&lt;/td&gt;&lt;td class='beschreibung'&gt;&lt;strong&gt;Zero Dark Thirty&lt;/strong&gt;&lt;br&gt;Jahr: 2012&lt;br&gt;Filmmusik&lt;br&gt;Rolle: Komponent&lt;br&gt;Typ: Kinofilm&lt;br&gt;&lt;a href='https://www.imdb.com/title/tt1790885/?ref_=nm_flmg_com_47'&gt;Link&lt;/a&gt;&lt;/td&gt;&lt;/tr&gt;</v>
      </c>
    </row>
    <row r="49" spans="1:9" x14ac:dyDescent="0.25">
      <c r="A49" t="s">
        <v>876</v>
      </c>
      <c r="B49" t="s">
        <v>1</v>
      </c>
      <c r="C49" t="s">
        <v>0</v>
      </c>
      <c r="D49" t="s">
        <v>228</v>
      </c>
      <c r="E49" t="s">
        <v>743</v>
      </c>
      <c r="F49" t="s">
        <v>230</v>
      </c>
      <c r="G49" t="s">
        <v>52</v>
      </c>
      <c r="H49" t="str">
        <f t="shared" si="1"/>
        <v>tt1446192</v>
      </c>
      <c r="I49" t="str">
        <f t="shared" si="0"/>
        <v>&lt;tr class='rowfilm'&gt;&lt;td class='film'&gt;&lt;img src=' https://m.media-amazon.com/images/M/MV5BMTkzMjgwMDg1M15BMl5BanBnXkFtZTcwMTgzNTI1OA@@._V1_UX140_CR0,0,140,209_AL_.jpg'&gt;&lt;/td&gt;&lt;td class='beschreibung'&gt;&lt;strong&gt;Die Hüter des Lichts&lt;/strong&gt;&lt;br&gt;Jahr: 2012&lt;br&gt;Filmmusik&lt;br&gt;Rolle: Komponent&lt;br&gt;Typ: Kinofilm&lt;br&gt;&lt;a href='https://www.imdb.com/title/tt1446192/?ref_=nm_flmg_com_48'&gt;Link&lt;/a&gt;&lt;/td&gt;&lt;/tr&gt;</v>
      </c>
    </row>
    <row r="50" spans="1:9" x14ac:dyDescent="0.25">
      <c r="A50" t="s">
        <v>871</v>
      </c>
      <c r="B50" t="s">
        <v>1</v>
      </c>
      <c r="C50" t="s">
        <v>0</v>
      </c>
      <c r="D50" t="s">
        <v>228</v>
      </c>
      <c r="E50" t="s">
        <v>743</v>
      </c>
      <c r="F50" t="s">
        <v>231</v>
      </c>
      <c r="G50" t="s">
        <v>53</v>
      </c>
      <c r="H50" t="str">
        <f t="shared" si="1"/>
        <v>tt1024648</v>
      </c>
      <c r="I50" t="str">
        <f t="shared" si="0"/>
        <v>&lt;tr class='rowfilm'&gt;&lt;td class='film'&gt;&lt;img src=' https://m.media-amazon.com/images/M/MV5BNzljNjY3MDYtYzc0Ni00YjU0LWIyNDUtNTE0ZDRiMGExMjZlXkEyXkFqcGdeQXVyMTMxODk2OTU@._V1_UY209_CR0,0,140,209_AL_.jpg'&gt;&lt;/td&gt;&lt;td class='beschreibung'&gt;&lt;strong&gt;Argo&lt;/strong&gt;&lt;br&gt;Jahr: 2012&lt;br&gt;Filmmusik&lt;br&gt;Rolle: Komponent&lt;br&gt;Typ: Kinofilm&lt;br&gt;&lt;a href='https://www.imdb.com/title/tt1024648/?ref_=nm_flmg_com_49'&gt;Link&lt;/a&gt;&lt;/td&gt;&lt;/tr&gt;</v>
      </c>
    </row>
    <row r="51" spans="1:9" x14ac:dyDescent="0.25">
      <c r="A51" t="s">
        <v>878</v>
      </c>
      <c r="B51" t="s">
        <v>1</v>
      </c>
      <c r="C51" t="s">
        <v>0</v>
      </c>
      <c r="D51" t="s">
        <v>228</v>
      </c>
      <c r="E51" t="s">
        <v>743</v>
      </c>
      <c r="F51" t="s">
        <v>232</v>
      </c>
      <c r="G51" t="s">
        <v>54</v>
      </c>
      <c r="H51" t="str">
        <f t="shared" si="1"/>
        <v>tt2150332</v>
      </c>
      <c r="I51" t="str">
        <f t="shared" si="0"/>
        <v>&lt;tr class='rowfilm'&gt;&lt;td class='film'&gt;&lt;img src=' https://m.media-amazon.com/images/M/MV5BMzk3Nzg0NDA0Nl5BMl5BanBnXkFtZTcwMTg1MTUxOQ@@._V1_UY209_CR0,0,140,209_AL_.jpg'&gt;&lt;/td&gt;&lt;td class='beschreibung'&gt;&lt;strong&gt;Renoir&lt;/strong&gt;&lt;br&gt;Jahr: 2012&lt;br&gt;Filmmusik&lt;br&gt;Rolle: Komponent&lt;br&gt;Typ: Kinofilm&lt;br&gt;&lt;a href='https://www.imdb.com/title/tt2150332/?ref_=nm_flmg_com_50'&gt;Link&lt;/a&gt;&lt;/td&gt;&lt;/tr&gt;</v>
      </c>
    </row>
    <row r="52" spans="1:9" x14ac:dyDescent="0.25">
      <c r="A52" t="s">
        <v>881</v>
      </c>
      <c r="B52" t="s">
        <v>1</v>
      </c>
      <c r="C52" t="s">
        <v>0</v>
      </c>
      <c r="D52" t="s">
        <v>228</v>
      </c>
      <c r="E52" t="s">
        <v>743</v>
      </c>
      <c r="F52" t="s">
        <v>687</v>
      </c>
      <c r="G52" t="s">
        <v>55</v>
      </c>
      <c r="H52" t="str">
        <f t="shared" si="1"/>
        <v>tt2167404</v>
      </c>
      <c r="I52" t="str">
        <f t="shared" si="0"/>
        <v>&lt;tr class='rowfilm'&gt;&lt;td class='film'&gt;&lt;img src=' https://m.media-amazon.com/images/M/MV5BMGE4MTc4ZDMtNmJiOS00YjI5LWFjYmItYzhmNWUzNmFlODY4XkEyXkFqcGdeQXVyNDc1MTkyMzY@._V1_UY209_CR7,0,140,209_AL_.jpg'&gt;&lt;/td&gt;&lt;td class='beschreibung'&gt;&lt;strong&gt;A Therapy&lt;/strong&gt;&lt;br&gt;Jahr: 2012&lt;br&gt;Filmmusik&lt;br&gt;Rolle: Komponent&lt;br&gt;Typ: Kinofilm&lt;br&gt;&lt;a href='https://www.imdb.com/title/tt2167404/?ref_=nm_flmg_com_51'&gt;Link&lt;/a&gt;&lt;/td&gt;&lt;/tr&gt;</v>
      </c>
    </row>
    <row r="53" spans="1:9" x14ac:dyDescent="0.25">
      <c r="A53" t="s">
        <v>879</v>
      </c>
      <c r="B53" t="s">
        <v>1</v>
      </c>
      <c r="C53" t="s">
        <v>0</v>
      </c>
      <c r="D53" t="s">
        <v>228</v>
      </c>
      <c r="E53" t="s">
        <v>743</v>
      </c>
      <c r="F53" t="s">
        <v>714</v>
      </c>
      <c r="G53" t="s">
        <v>56</v>
      </c>
      <c r="H53" t="str">
        <f t="shared" si="1"/>
        <v>tt1846487</v>
      </c>
      <c r="I53" t="str">
        <f t="shared" si="0"/>
        <v>&lt;tr class='rowfilm'&gt;&lt;td class='film'&gt;&lt;img src=' https://m.media-amazon.com/images/M/MV5BZmUzZTcxNWMtODYwOS00ZTk0LTg2NTktMzQzYzRiNzEwMDEyXkEyXkFqcGdeQXVyMzIzNDU1NTY@._V1_UY209_CR3,0,140,209_AL_.jpg'&gt;&lt;/td&gt;&lt;td class='beschreibung'&gt;&lt;strong&gt;Reality&lt;/strong&gt;&lt;br&gt;Jahr: 2012&lt;br&gt;Filmmusik&lt;br&gt;Rolle: Komponent&lt;br&gt;Typ: Kinofilm&lt;br&gt;&lt;a href='https://www.imdb.com/title/tt1846487/?ref_=nm_flmg_com_52'&gt;Link&lt;/a&gt;&lt;/td&gt;&lt;/tr&gt;</v>
      </c>
    </row>
    <row r="54" spans="1:9" x14ac:dyDescent="0.25">
      <c r="A54" t="s">
        <v>875</v>
      </c>
      <c r="B54" t="s">
        <v>1</v>
      </c>
      <c r="C54" t="s">
        <v>0</v>
      </c>
      <c r="D54" t="s">
        <v>228</v>
      </c>
      <c r="E54" t="s">
        <v>743</v>
      </c>
      <c r="F54" t="s">
        <v>233</v>
      </c>
      <c r="G54" t="s">
        <v>57</v>
      </c>
      <c r="H54" t="str">
        <f t="shared" si="1"/>
        <v>tt2053425</v>
      </c>
      <c r="I54" t="str">
        <f t="shared" si="0"/>
        <v>&lt;tr class='rowfilm'&gt;&lt;td class='film'&gt;&lt;img src=' https://m.media-amazon.com/images/M/MV5BYTUwNTljNjYtMjFhZi00ZGE5LThmMWEtYzQ3YmY2ZWNiZTU1XkEyXkFqcGdeQXVyMTMxODk2OTU@._V1_UY209_CR0,0,140,209_AL_.jpg'&gt;&lt;/td&gt;&lt;td class='beschreibung'&gt;&lt;strong&gt;Der Geschmack von Rost und Knochen&lt;/strong&gt;&lt;br&gt;Jahr: 2012&lt;br&gt;Filmmusik&lt;br&gt;Rolle: Komponent&lt;br&gt;Typ: Kinofilm&lt;br&gt;&lt;a href='https://www.imdb.com/title/tt2053425/?ref_=nm_flmg_com_53'&gt;Link&lt;/a&gt;&lt;/td&gt;&lt;/tr&gt;</v>
      </c>
    </row>
    <row r="55" spans="1:9" x14ac:dyDescent="0.25">
      <c r="A55" t="s">
        <v>874</v>
      </c>
      <c r="B55" t="s">
        <v>1</v>
      </c>
      <c r="C55" t="s">
        <v>0</v>
      </c>
      <c r="D55" t="s">
        <v>228</v>
      </c>
      <c r="E55" t="s">
        <v>743</v>
      </c>
      <c r="F55" t="s">
        <v>234</v>
      </c>
      <c r="G55" t="s">
        <v>58</v>
      </c>
      <c r="H55" t="str">
        <f t="shared" si="1"/>
        <v>tt1748122</v>
      </c>
      <c r="I55" t="str">
        <f t="shared" si="0"/>
        <v>&lt;tr class='rowfilm'&gt;&lt;td class='film'&gt;&lt;img src=' https://m.media-amazon.com/images/M/MV5BMzllMWI1ZDQtMmFhNS00NzJkLThmMTMtNzFmMmMyYjU3ZGVjXkEyXkFqcGdeQXVyMDI2NDg0NQ@@._V1_UY209_CR3,0,140,209_AL_.jpg'&gt;&lt;/td&gt;&lt;td class='beschreibung'&gt;&lt;strong&gt;Moonrise Kingdom&lt;/strong&gt;&lt;br&gt;Jahr: 2012&lt;br&gt;Filmmusik&lt;br&gt;Rolle: Komponent&lt;br&gt;Typ: Kinofilm&lt;br&gt;&lt;a href='https://www.imdb.com/title/tt1748122/?ref_=nm_flmg_com_54'&gt;Link&lt;/a&gt;&lt;/td&gt;&lt;/tr&gt;</v>
      </c>
    </row>
    <row r="56" spans="1:9" x14ac:dyDescent="0.25">
      <c r="A56" t="s">
        <v>880</v>
      </c>
      <c r="B56" t="s">
        <v>1</v>
      </c>
      <c r="C56" t="s">
        <v>0</v>
      </c>
      <c r="D56" t="s">
        <v>228</v>
      </c>
      <c r="E56" t="s">
        <v>743</v>
      </c>
      <c r="F56" t="s">
        <v>235</v>
      </c>
      <c r="G56" t="s">
        <v>59</v>
      </c>
      <c r="H56" t="str">
        <f t="shared" si="1"/>
        <v>tt2076176</v>
      </c>
      <c r="I56" t="str">
        <f t="shared" si="0"/>
        <v>&lt;tr class='rowfilm'&gt;&lt;td class='film'&gt;&lt;img src=' https://m.media-amazon.com/images/M/MV5BODY5OWQ0ZWYtN2Q3Ny00Y2RiLTgwYTUtMTYwMWYyNWFkODUzXkEyXkFqcGdeQXVyODAwMTU1MTE@._V1_UY209_CR4,0,140,209_AL_.jpg'&gt;&lt;/td&gt;&lt;td class='beschreibung'&gt;&lt;strong&gt;My Way - Ein Leben für das Chanson&lt;/strong&gt;&lt;br&gt;Jahr: 2012&lt;br&gt;Filmmusik&lt;br&gt;Rolle: Komponent&lt;br&gt;Typ: Kinofilm&lt;br&gt;&lt;a href='https://www.imdb.com/title/tt2076176/?ref_=nm_flmg_com_55'&gt;Link&lt;/a&gt;&lt;/td&gt;&lt;/tr&gt;</v>
      </c>
    </row>
    <row r="57" spans="1:9" x14ac:dyDescent="0.25">
      <c r="A57" t="s">
        <v>889</v>
      </c>
      <c r="B57" t="s">
        <v>1</v>
      </c>
      <c r="C57" t="s">
        <v>0</v>
      </c>
      <c r="D57" t="s">
        <v>236</v>
      </c>
      <c r="E57" t="s">
        <v>743</v>
      </c>
      <c r="F57" t="s">
        <v>237</v>
      </c>
      <c r="G57" t="s">
        <v>60</v>
      </c>
      <c r="H57" t="str">
        <f t="shared" si="1"/>
        <v>tt0477302</v>
      </c>
      <c r="I57" t="str">
        <f t="shared" si="0"/>
        <v>&lt;tr class='rowfilm'&gt;&lt;td class='film'&gt;&lt;img src=' https://m.media-amazon.com/images/M/MV5BMTUxNzYwMTE3NV5BMl5BanBnXkFtZTcwMDY2NzU4Ng@@._V1_UY209_CR0,0,140,209_AL_.jpg'&gt;&lt;/td&gt;&lt;td class='beschreibung'&gt;&lt;strong&gt;Extrem laut &amp; unglaublich nah&lt;/strong&gt;&lt;br&gt;Jahr: 2011&lt;br&gt;Filmmusik&lt;br&gt;Rolle: Komponent&lt;br&gt;Typ: Kinofilm&lt;br&gt;&lt;a href='https://www.imdb.com/title/tt0477302/?ref_=nm_flmg_com_56'&gt;Link&lt;/a&gt;&lt;/td&gt;&lt;/tr&gt;</v>
      </c>
    </row>
    <row r="58" spans="1:9" x14ac:dyDescent="0.25">
      <c r="A58" t="s">
        <v>896</v>
      </c>
      <c r="B58" t="s">
        <v>1</v>
      </c>
      <c r="C58" t="s">
        <v>0</v>
      </c>
      <c r="D58" t="s">
        <v>236</v>
      </c>
      <c r="E58" t="s">
        <v>701</v>
      </c>
      <c r="F58" t="s">
        <v>704</v>
      </c>
      <c r="G58" t="s">
        <v>61</v>
      </c>
      <c r="H58" t="str">
        <f t="shared" si="1"/>
        <v>tt2079571</v>
      </c>
      <c r="I58" t="str">
        <f t="shared" si="0"/>
        <v>&lt;tr class='rowfilm'&gt;&lt;td class='film'&gt;&lt;img src=' https://m.media-amazon.com/images/M/MV5BMTU4ODIwMzcyMV5BMl5BanBnXkFtZTcwMTEwMjkwOA@@._V1_UY209_CR4,0,140,209_AL_.jpg'&gt;&lt;/td&gt;&lt;td class='beschreibung'&gt;&lt;strong&gt;Roman Polanski: A Film Memoir&lt;/strong&gt;&lt;br&gt;Jahr: 2011&lt;br&gt;Filmmusik&lt;br&gt;Rolle: Komponent&lt;br&gt;Typ: Dokumentarfilm&lt;br&gt;&lt;a href='https://www.imdb.com/title/tt2079571/?ref_=nm_flmg_com_57'&gt;Link&lt;/a&gt;&lt;/td&gt;&lt;/tr&gt;</v>
      </c>
    </row>
    <row r="59" spans="1:9" x14ac:dyDescent="0.25">
      <c r="A59" t="s">
        <v>888</v>
      </c>
      <c r="B59" t="s">
        <v>1</v>
      </c>
      <c r="C59" t="s">
        <v>0</v>
      </c>
      <c r="D59" t="s">
        <v>236</v>
      </c>
      <c r="E59" t="s">
        <v>743</v>
      </c>
      <c r="F59" t="s">
        <v>238</v>
      </c>
      <c r="G59" t="s">
        <v>62</v>
      </c>
      <c r="H59" t="str">
        <f t="shared" si="1"/>
        <v>tt1692486</v>
      </c>
      <c r="I59" t="str">
        <f t="shared" si="0"/>
        <v>&lt;tr class='rowfilm'&gt;&lt;td class='film'&gt;&lt;img src=' https://m.media-amazon.com/images/M/MV5BOGE3ZWZkMTAtMjc4Ny00YTgyLTliZTQtOGVlNzNhZjU5NTkzXkEyXkFqcGdeQXVyNDkzNTM2ODg@._V1_UY209_CR6,0,140,209_AL_.jpg'&gt;&lt;/td&gt;&lt;td class='beschreibung'&gt;&lt;strong&gt;Der Gott des Gemetzels&lt;/strong&gt;&lt;br&gt;Jahr: 2011&lt;br&gt;Filmmusik&lt;br&gt;Rolle: Komponent&lt;br&gt;Typ: Kinofilm&lt;br&gt;&lt;a href='https://www.imdb.com/title/tt1692486/?ref_=nm_flmg_com_58'&gt;Link&lt;/a&gt;&lt;/td&gt;&lt;/tr&gt;</v>
      </c>
    </row>
    <row r="60" spans="1:9" x14ac:dyDescent="0.25">
      <c r="A60" t="s">
        <v>886</v>
      </c>
      <c r="B60" t="s">
        <v>1</v>
      </c>
      <c r="C60" t="s">
        <v>0</v>
      </c>
      <c r="D60" t="s">
        <v>236</v>
      </c>
      <c r="E60" t="s">
        <v>743</v>
      </c>
      <c r="F60" t="s">
        <v>239</v>
      </c>
      <c r="G60" t="s">
        <v>63</v>
      </c>
      <c r="H60" t="str">
        <f t="shared" si="1"/>
        <v>tt1124035</v>
      </c>
      <c r="I60" t="str">
        <f t="shared" si="0"/>
        <v>&lt;tr class='rowfilm'&gt;&lt;td class='film'&gt;&lt;img src=' https://m.media-amazon.com/images/M/MV5BNTU4MjkzNTY0OF5BMl5BanBnXkFtZTcwNDI5ODIxNg@@._V1_UY209_CR0,0,140,209_AL_.jpg'&gt;&lt;/td&gt;&lt;td class='beschreibung'&gt;&lt;strong&gt;The Ides of March - Tage des Verrats&lt;/strong&gt;&lt;br&gt;Jahr: 2011&lt;br&gt;Filmmusik&lt;br&gt;Rolle: Komponent&lt;br&gt;Typ: Kinofilm&lt;br&gt;&lt;a href='https://www.imdb.com/title/tt1124035/?ref_=nm_flmg_com_59'&gt;Link&lt;/a&gt;&lt;/td&gt;&lt;/tr&gt;</v>
      </c>
    </row>
    <row r="61" spans="1:9" x14ac:dyDescent="0.25">
      <c r="A61" t="s">
        <v>884</v>
      </c>
      <c r="B61" t="s">
        <v>1</v>
      </c>
      <c r="C61" t="s">
        <v>0</v>
      </c>
      <c r="D61" t="s">
        <v>236</v>
      </c>
      <c r="E61" t="s">
        <v>743</v>
      </c>
      <c r="F61" t="s">
        <v>240</v>
      </c>
      <c r="G61" t="s">
        <v>64</v>
      </c>
      <c r="H61" t="str">
        <f t="shared" si="1"/>
        <v>tt1201607</v>
      </c>
      <c r="I61" t="str">
        <f t="shared" si="0"/>
        <v>&lt;tr class='rowfilm'&gt;&lt;td class='film'&gt;&lt;img src=' https://m.media-amazon.com/images/M/MV5BMjIyZGU4YzUtNDkzYi00ZDRhLTljYzctYTMxMDQ4M2E0Y2YxXkEyXkFqcGdeQXVyNTIzOTk5ODM@._V1_UX140_CR0,0,140,209_AL_.jpg'&gt;&lt;/td&gt;&lt;td class='beschreibung'&gt;&lt;strong&gt;Harry Potter und die Heiligtümer des Todes - Teil 2&lt;/strong&gt;&lt;br&gt;Jahr: 2011&lt;br&gt;Filmmusik&lt;br&gt;Rolle: Komponent&lt;br&gt;Typ: Kinofilm&lt;br&gt;&lt;a href='https://www.imdb.com/title/tt1201607/?ref_=nm_flmg_com_60'&gt;Link&lt;/a&gt;&lt;/td&gt;&lt;/tr&gt;</v>
      </c>
    </row>
    <row r="62" spans="1:9" x14ac:dyDescent="0.25">
      <c r="A62" t="s">
        <v>892</v>
      </c>
      <c r="B62" t="s">
        <v>1</v>
      </c>
      <c r="C62" t="s">
        <v>0</v>
      </c>
      <c r="D62" t="s">
        <v>236</v>
      </c>
      <c r="E62" t="s">
        <v>743</v>
      </c>
      <c r="F62" t="s">
        <v>241</v>
      </c>
      <c r="G62" t="s">
        <v>65</v>
      </c>
      <c r="H62" t="str">
        <f t="shared" si="1"/>
        <v>tt1554091</v>
      </c>
      <c r="I62" t="str">
        <f t="shared" si="0"/>
        <v>&lt;tr class='rowfilm'&gt;&lt;td class='film'&gt;&lt;img src=' https://m.media-amazon.com/images/M/MV5BMTUyODMxODYwMV5BMl5BanBnXkFtZTcwMTg4MTU1NA@@._V1_UX140_CR0,0,140,209_AL_.jpg'&gt;&lt;/td&gt;&lt;td class='beschreibung'&gt;&lt;strong&gt;A Better Life&lt;/strong&gt;&lt;br&gt;Jahr: 2011&lt;br&gt;Filmmusik&lt;br&gt;Rolle: Komponent&lt;br&gt;Typ: Kinofilm&lt;br&gt;&lt;a href='https://www.imdb.com/title/tt1554091/?ref_=nm_flmg_com_61'&gt;Link&lt;/a&gt;&lt;/td&gt;&lt;/tr&gt;</v>
      </c>
    </row>
    <row r="63" spans="1:9" x14ac:dyDescent="0.25">
      <c r="A63" t="s">
        <v>885</v>
      </c>
      <c r="B63" t="s">
        <v>1</v>
      </c>
      <c r="C63" t="s">
        <v>0</v>
      </c>
      <c r="D63" t="s">
        <v>236</v>
      </c>
      <c r="E63" t="s">
        <v>743</v>
      </c>
      <c r="F63" t="s">
        <v>242</v>
      </c>
      <c r="G63" t="s">
        <v>66</v>
      </c>
      <c r="H63" t="str">
        <f t="shared" si="1"/>
        <v>tt0478304</v>
      </c>
      <c r="I63" t="str">
        <f t="shared" si="0"/>
        <v>&lt;tr class='rowfilm'&gt;&lt;td class='film'&gt;&lt;img src=' https://m.media-amazon.com/images/M/MV5BMTMwNjQ0NjMzN15BMl5BanBnXkFtZTcwNjMxMTkyNA@@._V1_UY209_CR1,0,140,209_AL_.jpg'&gt;&lt;/td&gt;&lt;td class='beschreibung'&gt;&lt;strong&gt;The Tree of Life&lt;/strong&gt;&lt;br&gt;Jahr: 2011&lt;br&gt;Filmmusik&lt;br&gt;Rolle: Komponent&lt;br&gt;Typ: Kinofilm&lt;br&gt;&lt;a href='https://www.imdb.com/title/tt0478304/?ref_=nm_flmg_com_62'&gt;Link&lt;/a&gt;&lt;/td&gt;&lt;/tr&gt;</v>
      </c>
    </row>
    <row r="64" spans="1:9" x14ac:dyDescent="0.25">
      <c r="A64" t="s">
        <v>894</v>
      </c>
      <c r="B64" t="s">
        <v>1</v>
      </c>
      <c r="C64" t="s">
        <v>0</v>
      </c>
      <c r="D64" t="s">
        <v>236</v>
      </c>
      <c r="E64" t="s">
        <v>743</v>
      </c>
      <c r="F64" t="s">
        <v>243</v>
      </c>
      <c r="G64" t="s">
        <v>67</v>
      </c>
      <c r="H64" t="str">
        <f t="shared" si="1"/>
        <v>tt1473063</v>
      </c>
      <c r="I64" t="str">
        <f t="shared" si="0"/>
        <v>&lt;tr class='rowfilm'&gt;&lt;td class='film'&gt;&lt;img src=' https://m.media-amazon.com/images/M/MV5BMTg5NjQ0ODgxNV5BMl5BanBnXkFtZTcwOTkyMjcxNQ@@._V1_UY209_CR7,0,140,209_AL_.jpg'&gt;&lt;/td&gt;&lt;td class='beschreibung'&gt;&lt;strong&gt;La fille du puisatier&lt;/strong&gt;&lt;br&gt;Jahr: 2011&lt;br&gt;Filmmusik&lt;br&gt;Rolle: Komponent&lt;br&gt;Typ: Kinofilm&lt;br&gt;&lt;a href='https://www.imdb.com/title/tt1473063/?ref_=nm_flmg_com_63'&gt;Link&lt;/a&gt;&lt;/td&gt;&lt;/tr&gt;</v>
      </c>
    </row>
    <row r="65" spans="1:9" x14ac:dyDescent="0.25">
      <c r="A65" t="s">
        <v>893</v>
      </c>
      <c r="B65" t="s">
        <v>1</v>
      </c>
      <c r="C65" t="s">
        <v>0</v>
      </c>
      <c r="D65" t="s">
        <v>236</v>
      </c>
      <c r="E65" t="s">
        <v>743</v>
      </c>
      <c r="F65" t="s">
        <v>244</v>
      </c>
      <c r="G65" t="s">
        <v>68</v>
      </c>
      <c r="H65" t="str">
        <f t="shared" si="1"/>
        <v>tt1322333</v>
      </c>
      <c r="I65" t="str">
        <f t="shared" si="0"/>
        <v>&lt;tr class='rowfilm'&gt;&lt;td class='film'&gt;&lt;img src=' https://m.media-amazon.com/images/M/MV5BNTMwNjg0NzU5NV5BMl5BanBnXkFtZTcwNDE1NjE2NA@@._V1_UY209_CR7,0,140,209_AL_.jpg'&gt;&lt;/td&gt;&lt;td class='beschreibung'&gt;&lt;strong&gt;Largo Winch II - Die Burma Verschwörung&lt;/strong&gt;&lt;br&gt;Jahr: 2011&lt;br&gt;Filmmusik&lt;br&gt;Rolle: Komponent&lt;br&gt;Typ: Kinofilm&lt;br&gt;&lt;a href='https://www.imdb.com/title/tt1322333/?ref_=nm_flmg_com_64'&gt;Link&lt;/a&gt;&lt;/td&gt;&lt;/tr&gt;</v>
      </c>
    </row>
    <row r="66" spans="1:9" x14ac:dyDescent="0.25">
      <c r="A66" t="s">
        <v>901</v>
      </c>
      <c r="B66" t="s">
        <v>1</v>
      </c>
      <c r="C66" t="s">
        <v>0</v>
      </c>
      <c r="D66" t="s">
        <v>245</v>
      </c>
      <c r="E66" t="s">
        <v>743</v>
      </c>
      <c r="F66" t="s">
        <v>246</v>
      </c>
      <c r="G66" t="s">
        <v>69</v>
      </c>
      <c r="H66" t="str">
        <f t="shared" si="1"/>
        <v>tt0926084</v>
      </c>
      <c r="I66" t="str">
        <f t="shared" si="0"/>
        <v>&lt;tr class='rowfilm'&gt;&lt;td class='film'&gt;&lt;img src=' https://m.media-amazon.com/images/M/MV5BMTQ2OTE1Mjk0N15BMl5BanBnXkFtZTcwODE3MDAwNA@@._V1_UY209_CR0,0,140,209_AL_.jpg'&gt;&lt;/td&gt;&lt;td class='beschreibung'&gt;&lt;strong&gt;Harry Potter und die Heiligtümer des Todes - Teil 1&lt;/strong&gt;&lt;br&gt;Jahr: 2010&lt;br&gt;Filmmusik&lt;br&gt;Rolle: Komponent&lt;br&gt;Typ: Kinofilm&lt;br&gt;&lt;a href='https://www.imdb.com/title/tt0926084/?ref_=nm_flmg_com_65'&gt;Link&lt;/a&gt;&lt;/td&gt;&lt;/tr&gt;</v>
      </c>
    </row>
    <row r="67" spans="1:9" x14ac:dyDescent="0.25">
      <c r="A67" t="s">
        <v>902</v>
      </c>
      <c r="B67" t="s">
        <v>1</v>
      </c>
      <c r="C67" t="s">
        <v>0</v>
      </c>
      <c r="D67" t="s">
        <v>245</v>
      </c>
      <c r="E67" t="s">
        <v>743</v>
      </c>
      <c r="F67" t="s">
        <v>247</v>
      </c>
      <c r="G67" t="s">
        <v>70</v>
      </c>
      <c r="H67" t="str">
        <f t="shared" si="1"/>
        <v>tt1504320</v>
      </c>
      <c r="I67" t="str">
        <f t="shared" ref="I67:I130" si="2">+"&lt;tr class='rowfilm'&gt;&lt;td class='film'&gt;&lt;img src='" &amp; A67 &amp;"'&gt;&lt;/td&gt;&lt;td class='beschreibung'&gt;&lt;strong&gt;"  &amp; F67  &amp;"&lt;/strong&gt;&lt;br&gt;Jahr: "&amp; D67 &amp; "&lt;br&gt;" &amp; B67 &amp;"&lt;br&gt;Rolle: " &amp; C67 &amp; "&lt;br&gt;Typ: " &amp; E67 &amp; "&lt;br&gt;" &amp; "&lt;a href='" &amp; G67 &amp;"'&gt;Link&lt;/a&gt;&lt;/td&gt;&lt;/tr&gt;"</f>
        <v>&lt;tr class='rowfilm'&gt;&lt;td class='film'&gt;&lt;img src=' https://m.media-amazon.com/images/M/MV5BMzU5MjEwMTg2Nl5BMl5BanBnXkFtZTcwNzM3MTYxNA@@._V1_UY209_CR1,0,140,209_AL_.jpg'&gt;&lt;/td&gt;&lt;td class='beschreibung'&gt;&lt;strong&gt;The King's Speech - Die Rede des Königs&lt;/strong&gt;&lt;br&gt;Jahr: 2010&lt;br&gt;Filmmusik&lt;br&gt;Rolle: Komponent&lt;br&gt;Typ: Kinofilm&lt;br&gt;&lt;a href='https://www.imdb.com/title/tt1504320/?ref_=nm_flmg_com_66'&gt;Link&lt;/a&gt;&lt;/td&gt;&lt;/tr&gt;</v>
      </c>
    </row>
    <row r="68" spans="1:9" x14ac:dyDescent="0.25">
      <c r="A68" t="s">
        <v>906</v>
      </c>
      <c r="B68" t="s">
        <v>1</v>
      </c>
      <c r="C68" t="s">
        <v>0</v>
      </c>
      <c r="D68" t="s">
        <v>245</v>
      </c>
      <c r="E68" t="s">
        <v>743</v>
      </c>
      <c r="F68" t="s">
        <v>715</v>
      </c>
      <c r="G68" t="s">
        <v>71</v>
      </c>
      <c r="H68" t="str">
        <f t="shared" ref="H68:H131" si="3">+MID(G68,28,9)</f>
        <v>tt1117646</v>
      </c>
      <c r="I68" t="str">
        <f t="shared" si="2"/>
        <v>&lt;tr class='rowfilm'&gt;&lt;td class='film'&gt;&lt;img src=' https://m.media-amazon.com/images/M/MV5BMTgxMDI0Mjg4Ml5BMl5BanBnXkFtZTcwMDI1OTM3Mw@@._V1_UY209_CR0,0,140,209_AL_.jpg'&gt;&lt;/td&gt;&lt;td class='beschreibung'&gt;&lt;strong&gt;The Special Relationship&lt;/strong&gt;&lt;br&gt;Jahr: 2010&lt;br&gt;Filmmusik&lt;br&gt;Rolle: Komponent&lt;br&gt;Typ: Kinofilm&lt;br&gt;&lt;a href='https://www.imdb.com/title/tt1117646/?ref_=nm_flmg_com_67'&gt;Link&lt;/a&gt;&lt;/td&gt;&lt;/tr&gt;</v>
      </c>
    </row>
    <row r="69" spans="1:9" x14ac:dyDescent="0.25">
      <c r="A69" t="s">
        <v>905</v>
      </c>
      <c r="B69" t="s">
        <v>1</v>
      </c>
      <c r="C69" t="s">
        <v>0</v>
      </c>
      <c r="D69" t="s">
        <v>245</v>
      </c>
      <c r="E69" t="s">
        <v>743</v>
      </c>
      <c r="F69" t="s">
        <v>248</v>
      </c>
      <c r="G69" t="s">
        <v>72</v>
      </c>
      <c r="H69" t="str">
        <f t="shared" si="3"/>
        <v>tt1486190</v>
      </c>
      <c r="I69" t="str">
        <f t="shared" si="2"/>
        <v>&lt;tr class='rowfilm'&gt;&lt;td class='film'&gt;&lt;img src=' https://m.media-amazon.com/images/M/MV5BMjAyOTIyMjI0Nl5BMl5BanBnXkFtZTcwMzcyODE3Mw@@._V1_UY209_CR0,0,140,209_AL_.jpg'&gt;&lt;/td&gt;&lt;td class='beschreibung'&gt;&lt;strong&gt;Immer Drama um Tamara&lt;/strong&gt;&lt;br&gt;Jahr: 2010&lt;br&gt;Filmmusik&lt;br&gt;Rolle: Komponent&lt;br&gt;Typ: Kinofilm&lt;br&gt;&lt;a href='https://www.imdb.com/title/tt1486190/?ref_=nm_flmg_com_68'&gt;Link&lt;/a&gt;&lt;/td&gt;&lt;/tr&gt;</v>
      </c>
    </row>
    <row r="70" spans="1:9" x14ac:dyDescent="0.25">
      <c r="A70" t="s">
        <v>904</v>
      </c>
      <c r="B70" t="s">
        <v>1</v>
      </c>
      <c r="C70" t="s">
        <v>0</v>
      </c>
      <c r="D70" t="s">
        <v>245</v>
      </c>
      <c r="E70" t="s">
        <v>743</v>
      </c>
      <c r="F70" t="s">
        <v>249</v>
      </c>
      <c r="G70" t="s">
        <v>73</v>
      </c>
      <c r="H70" t="str">
        <f t="shared" si="3"/>
        <v>tt1139328</v>
      </c>
      <c r="I70" t="str">
        <f t="shared" si="2"/>
        <v>&lt;tr class='rowfilm'&gt;&lt;td class='film'&gt;&lt;img src=' https://m.media-amazon.com/images/M/MV5BMTI3NzMwMzkyNV5BMl5BanBnXkFtZTcwODk4NjQxMw@@._V1_UY209_CR0,0,140,209_AL_.jpg'&gt;&lt;/td&gt;&lt;td class='beschreibung'&gt;&lt;strong&gt;Der Ghostwriter&lt;/strong&gt;&lt;br&gt;Jahr: 2010&lt;br&gt;Filmmusik&lt;br&gt;Rolle: Komponent&lt;br&gt;Typ: Kinofilm&lt;br&gt;&lt;a href='https://www.imdb.com/title/tt1139328/?ref_=nm_flmg_com_69'&gt;Link&lt;/a&gt;&lt;/td&gt;&lt;/tr&gt;</v>
      </c>
    </row>
    <row r="71" spans="1:9" x14ac:dyDescent="0.25">
      <c r="A71" t="s">
        <v>910</v>
      </c>
      <c r="B71" t="s">
        <v>1</v>
      </c>
      <c r="C71" t="s">
        <v>0</v>
      </c>
      <c r="D71" t="s">
        <v>250</v>
      </c>
      <c r="E71" t="s">
        <v>743</v>
      </c>
      <c r="F71" t="s">
        <v>251</v>
      </c>
      <c r="G71" t="s">
        <v>74</v>
      </c>
      <c r="H71" t="str">
        <f t="shared" si="3"/>
        <v>tt1259571</v>
      </c>
      <c r="I71" t="str">
        <f t="shared" si="2"/>
        <v>&lt;tr class='rowfilm'&gt;&lt;td class='film'&gt;&lt;img src=' https://m.media-amazon.com/images/M/MV5BMTI3MjE3NDIxNF5BMl5BanBnXkFtZTcwODM3NTY5Mg@@._V1_UY209_CR0,0,140,209_AL_.jpg'&gt;&lt;/td&gt;&lt;td class='beschreibung'&gt;&lt;strong&gt;New Moon - Biss zur Mittagsstunde&lt;/strong&gt;&lt;br&gt;Jahr: 2009&lt;br&gt;Filmmusik&lt;br&gt;Rolle: Komponent&lt;br&gt;Typ: Kinofilm&lt;br&gt;&lt;a href='https://www.imdb.com/title/tt1259571/?ref_=nm_flmg_com_70'&gt;Link&lt;/a&gt;&lt;/td&gt;&lt;/tr&gt;</v>
      </c>
    </row>
    <row r="72" spans="1:9" x14ac:dyDescent="0.25">
      <c r="A72" t="s">
        <v>911</v>
      </c>
      <c r="B72" t="s">
        <v>1</v>
      </c>
      <c r="C72" t="s">
        <v>0</v>
      </c>
      <c r="D72" t="s">
        <v>250</v>
      </c>
      <c r="E72" t="s">
        <v>743</v>
      </c>
      <c r="F72" t="s">
        <v>682</v>
      </c>
      <c r="G72" t="s">
        <v>75</v>
      </c>
      <c r="H72" t="str">
        <f t="shared" si="3"/>
        <v>tt0432283</v>
      </c>
      <c r="I72" t="str">
        <f t="shared" si="2"/>
        <v>&lt;tr class='rowfilm'&gt;&lt;td class='film'&gt;&lt;img src=' https://m.media-amazon.com/images/M/MV5BOGUwYTU4NGEtNDM4MS00NDRjLTkwNmQtOTkwMWMyMjhmMjdlXkEyXkFqcGdeQXVyMTMxODk2OTU@._V1_UY209_CR0,0,140,209_AL_.jpg'&gt;&lt;/td&gt;&lt;td class='beschreibung'&gt;&lt;strong&gt;Der fantastische Mr. Fox&lt;/strong&gt;&lt;br&gt;Jahr: 2009&lt;br&gt;Filmmusik&lt;br&gt;Rolle: Komponent&lt;br&gt;Typ: Kinofilm&lt;br&gt;&lt;a href='https://www.imdb.com/title/tt0432283/?ref_=nm_flmg_com_71'&gt;Link&lt;/a&gt;&lt;/td&gt;&lt;/tr&gt;</v>
      </c>
    </row>
    <row r="73" spans="1:9" x14ac:dyDescent="0.25">
      <c r="A73" t="s">
        <v>912</v>
      </c>
      <c r="B73" t="s">
        <v>1</v>
      </c>
      <c r="C73" t="s">
        <v>0</v>
      </c>
      <c r="D73" t="s">
        <v>250</v>
      </c>
      <c r="E73" t="s">
        <v>743</v>
      </c>
      <c r="F73" t="s">
        <v>252</v>
      </c>
      <c r="G73" t="s">
        <v>76</v>
      </c>
      <c r="H73" t="str">
        <f t="shared" si="3"/>
        <v>tt1135503</v>
      </c>
      <c r="I73" t="str">
        <f t="shared" si="2"/>
        <v>&lt;tr class='rowfilm'&gt;&lt;td class='film'&gt;&lt;img src=' https://m.media-amazon.com/images/M/MV5BMzA4NjA2NjI2NV5BMl5BanBnXkFtZTcwOTEzNzI2Mg@@._V1_UY209_CR0,0,140,209_AL_.jpg'&gt;&lt;/td&gt;&lt;td class='beschreibung'&gt;&lt;strong&gt;Julie &amp; Julia&lt;/strong&gt;&lt;br&gt;Jahr: 2009&lt;br&gt;Filmmusik&lt;br&gt;Rolle: Komponent&lt;br&gt;Typ: Kinofilm&lt;br&gt;&lt;a href='https://www.imdb.com/title/tt1135503/?ref_=nm_flmg_com_72'&gt;Link&lt;/a&gt;&lt;/td&gt;&lt;/tr&gt;</v>
      </c>
    </row>
    <row r="74" spans="1:9" x14ac:dyDescent="0.25">
      <c r="A74" t="s">
        <v>917</v>
      </c>
      <c r="B74" t="s">
        <v>1</v>
      </c>
      <c r="C74" t="s">
        <v>0</v>
      </c>
      <c r="D74" t="s">
        <v>250</v>
      </c>
      <c r="E74" t="s">
        <v>743</v>
      </c>
      <c r="F74" t="s">
        <v>253</v>
      </c>
      <c r="G74" t="s">
        <v>77</v>
      </c>
      <c r="H74" t="str">
        <f t="shared" si="3"/>
        <v>tt1258120</v>
      </c>
      <c r="I74" t="str">
        <f t="shared" si="2"/>
        <v>&lt;tr class='rowfilm'&gt;&lt;td class='film'&gt;&lt;img src=' https://m.media-amazon.com/images/M/MV5BMjI0NjczNjQxMV5BMl5BanBnXkFtZTcwMDY1MDMzNA@@._V1_UY209_CR4,0,140,209_AL_.jpg'&gt;&lt;/td&gt;&lt;td class='beschreibung'&gt;&lt;strong&gt;L'armée du crime&lt;/strong&gt;&lt;br&gt;Jahr: 2009&lt;br&gt;Filmmusik&lt;br&gt;Rolle: Komponent&lt;br&gt;Typ: Kinofilm&lt;br&gt;&lt;a href='https://www.imdb.com/title/tt1258120/?ref_=nm_flmg_com_73'&gt;Link&lt;/a&gt;&lt;/td&gt;&lt;/tr&gt;</v>
      </c>
    </row>
    <row r="75" spans="1:9" x14ac:dyDescent="0.25">
      <c r="A75" t="s">
        <v>913</v>
      </c>
      <c r="B75" t="s">
        <v>1</v>
      </c>
      <c r="C75" t="s">
        <v>0</v>
      </c>
      <c r="D75" t="s">
        <v>250</v>
      </c>
      <c r="E75" t="s">
        <v>743</v>
      </c>
      <c r="F75" t="s">
        <v>254</v>
      </c>
      <c r="G75" t="s">
        <v>78</v>
      </c>
      <c r="H75" t="str">
        <f t="shared" si="3"/>
        <v>tt1235166</v>
      </c>
      <c r="I75" t="str">
        <f t="shared" si="2"/>
        <v>&lt;tr class='rowfilm'&gt;&lt;td class='film'&gt;&lt;img src=' https://m.media-amazon.com/images/M/MV5BMTUyMjQ1MTY5OV5BMl5BanBnXkFtZTcwNzY5NjExMw@@._V1_UY209_CR4,0,140,209_AL_.jpg'&gt;&lt;/td&gt;&lt;td class='beschreibung'&gt;&lt;strong&gt;Ein Prophet&lt;/strong&gt;&lt;br&gt;Jahr: 2009&lt;br&gt;Filmmusik&lt;br&gt;Rolle: Komponent&lt;br&gt;Typ: Kinofilm&lt;br&gt;&lt;a href='https://www.imdb.com/title/tt1235166/?ref_=nm_flmg_com_74'&gt;Link&lt;/a&gt;&lt;/td&gt;&lt;/tr&gt;</v>
      </c>
    </row>
    <row r="76" spans="1:9" x14ac:dyDescent="0.25">
      <c r="A76" t="s">
        <v>915</v>
      </c>
      <c r="B76" t="s">
        <v>1</v>
      </c>
      <c r="C76" t="s">
        <v>0</v>
      </c>
      <c r="D76" t="s">
        <v>250</v>
      </c>
      <c r="E76" t="s">
        <v>743</v>
      </c>
      <c r="F76" t="s">
        <v>255</v>
      </c>
      <c r="G76" t="s">
        <v>79</v>
      </c>
      <c r="H76" t="str">
        <f t="shared" si="3"/>
        <v>tt1035736</v>
      </c>
      <c r="I76" t="str">
        <f t="shared" si="2"/>
        <v>&lt;tr class='rowfilm'&gt;&lt;td class='film'&gt;&lt;img src=' https://m.media-amazon.com/images/M/MV5BMTA0NjYzMzQxNzBeQTJeQWpwZ15BbWU3MDI2MDA0ODI@._V1_UY209_CR0,0,140,209_AL_.jpg'&gt;&lt;/td&gt;&lt;td class='beschreibung'&gt;&lt;strong&gt;Coco Chanel: Der Beginn einer Leidenschaft&lt;/strong&gt;&lt;br&gt;Jahr: 2009&lt;br&gt;Filmmusik&lt;br&gt;Rolle: Komponent&lt;br&gt;Typ: Kinofilm&lt;br&gt;&lt;a href='https://www.imdb.com/title/tt1035736/?ref_=nm_flmg_com_75'&gt;Link&lt;/a&gt;&lt;/td&gt;&lt;/tr&gt;</v>
      </c>
    </row>
    <row r="77" spans="1:9" x14ac:dyDescent="0.25">
      <c r="A77" t="s">
        <v>914</v>
      </c>
      <c r="B77" t="s">
        <v>1</v>
      </c>
      <c r="C77" t="s">
        <v>0</v>
      </c>
      <c r="D77" t="s">
        <v>250</v>
      </c>
      <c r="E77" t="s">
        <v>743</v>
      </c>
      <c r="F77" t="s">
        <v>256</v>
      </c>
      <c r="G77" t="s">
        <v>80</v>
      </c>
      <c r="H77" t="str">
        <f t="shared" si="3"/>
        <v>tt1179258</v>
      </c>
      <c r="I77" t="str">
        <f t="shared" si="2"/>
        <v>&lt;tr class='rowfilm'&gt;&lt;td class='film'&gt;&lt;img src=' https://m.media-amazon.com/images/M/MV5BOTY4MzU1MzI1NV5BMl5BanBnXkFtZTcwOTY5Njc1Mg@@._V1_UY209_CR0,0,140,209_AL_.jpg'&gt;&lt;/td&gt;&lt;td class='beschreibung'&gt;&lt;strong&gt;Chéri - Eine Komödie der Eitelkeiten&lt;/strong&gt;&lt;br&gt;Jahr: 2009&lt;br&gt;Filmmusik&lt;br&gt;Rolle: Komponent&lt;br&gt;Typ: Kinofilm&lt;br&gt;&lt;a href='https://www.imdb.com/title/tt1179258/?ref_=nm_flmg_com_76'&gt;Link&lt;/a&gt;&lt;/td&gt;&lt;/tr&gt;</v>
      </c>
    </row>
    <row r="78" spans="1:9" x14ac:dyDescent="0.25">
      <c r="A78" t="s">
        <v>920</v>
      </c>
      <c r="B78" t="s">
        <v>1</v>
      </c>
      <c r="C78" t="s">
        <v>0</v>
      </c>
      <c r="D78" t="s">
        <v>257</v>
      </c>
      <c r="E78" t="s">
        <v>743</v>
      </c>
      <c r="F78" t="s">
        <v>258</v>
      </c>
      <c r="G78" t="s">
        <v>81</v>
      </c>
      <c r="H78" t="str">
        <f t="shared" si="3"/>
        <v>tt0421715</v>
      </c>
      <c r="I78" t="str">
        <f t="shared" si="2"/>
        <v>&lt;tr class='rowfilm'&gt;&lt;td class='film'&gt;&lt;img src=' https://m.media-amazon.com/images/M/MV5BNjQ0NTY2ODY2M15BMl5BanBnXkFtZTgwMjE4MzkxMDE@._V1_UY209_CR0,0,140,209_AL_.jpg'&gt;&lt;/td&gt;&lt;td class='beschreibung'&gt;&lt;strong&gt;Der seltsame Fall des Benjamin Button&lt;/strong&gt;&lt;br&gt;Jahr: 2008&lt;br&gt;Filmmusik&lt;br&gt;Rolle: Komponent&lt;br&gt;Typ: Kinofilm&lt;br&gt;&lt;a href='https://www.imdb.com/title/tt0421715/?ref_=nm_flmg_com_77'&gt;Link&lt;/a&gt;&lt;/td&gt;&lt;/tr&gt;</v>
      </c>
    </row>
    <row r="79" spans="1:9" x14ac:dyDescent="0.25">
      <c r="A79" t="s">
        <v>921</v>
      </c>
      <c r="B79" t="s">
        <v>1</v>
      </c>
      <c r="C79" t="s">
        <v>0</v>
      </c>
      <c r="D79" t="s">
        <v>257</v>
      </c>
      <c r="E79" t="s">
        <v>743</v>
      </c>
      <c r="F79" t="s">
        <v>259</v>
      </c>
      <c r="G79" t="s">
        <v>82</v>
      </c>
      <c r="H79" t="str">
        <f t="shared" si="3"/>
        <v>tt0808339</v>
      </c>
      <c r="I79" t="str">
        <f t="shared" si="2"/>
        <v>&lt;tr class='rowfilm'&gt;&lt;td class='film'&gt;&lt;img src=' https://m.media-amazon.com/images/M/MV5BMjI2MTY4OTkwOV5BMl5BanBnXkFtZTcwNzg2NjM5Ng@@._V1_UY209_CR0,0,140,209_AL_.jpg'&gt;&lt;/td&gt;&lt;td class='beschreibung'&gt;&lt;strong&gt;Largo Winch&lt;/strong&gt;&lt;br&gt;Jahr: 2008&lt;br&gt;Filmmusik&lt;br&gt;Rolle: Komponent&lt;br&gt;Typ: Kinofilm&lt;br&gt;&lt;a href='https://www.imdb.com/title/tt0808339/?ref_=nm_flmg_com_78'&gt;Link&lt;/a&gt;&lt;/td&gt;&lt;/tr&gt;</v>
      </c>
    </row>
    <row r="80" spans="1:9" x14ac:dyDescent="0.25">
      <c r="A80" t="s">
        <v>922</v>
      </c>
      <c r="B80" t="s">
        <v>1</v>
      </c>
      <c r="C80" t="s">
        <v>0</v>
      </c>
      <c r="D80" t="s">
        <v>257</v>
      </c>
      <c r="E80" t="s">
        <v>743</v>
      </c>
      <c r="F80" t="s">
        <v>260</v>
      </c>
      <c r="G80" t="s">
        <v>83</v>
      </c>
      <c r="H80" t="str">
        <f t="shared" si="3"/>
        <v>tt0940580</v>
      </c>
      <c r="I80" t="str">
        <f t="shared" si="2"/>
        <v>&lt;tr class='rowfilm'&gt;&lt;td class='film'&gt;&lt;img src=' https://m.media-amazon.com/images/M/MV5BMTI1NzEzNzkzMV5BMl5BanBnXkFtZTcwNTU5MDQ4Mg@@._V1_UY209_CR4,0,140,209_AL_.jpg'&gt;&lt;/td&gt;&lt;td class='beschreibung'&gt;&lt;strong&gt;Ein Engel im Winter&lt;/strong&gt;&lt;br&gt;Jahr: 2008&lt;br&gt;Filmmusik&lt;br&gt;Rolle: Komponent&lt;br&gt;Typ: Kinofilm&lt;br&gt;&lt;a href='https://www.imdb.com/title/tt0940580/?ref_=nm_flmg_com_79'&gt;Link&lt;/a&gt;&lt;/td&gt;&lt;/tr&gt;</v>
      </c>
    </row>
    <row r="81" spans="1:9" x14ac:dyDescent="0.25">
      <c r="A81" t="s">
        <v>925</v>
      </c>
      <c r="B81" t="s">
        <v>1</v>
      </c>
      <c r="C81" t="s">
        <v>0</v>
      </c>
      <c r="D81" t="s">
        <v>261</v>
      </c>
      <c r="E81" t="s">
        <v>743</v>
      </c>
      <c r="F81" t="s">
        <v>683</v>
      </c>
      <c r="G81" t="s">
        <v>84</v>
      </c>
      <c r="H81" t="str">
        <f t="shared" si="3"/>
        <v>tt0385752</v>
      </c>
      <c r="I81" t="str">
        <f t="shared" si="2"/>
        <v>&lt;tr class='rowfilm'&gt;&lt;td class='film'&gt;&lt;img src=' https://m.media-amazon.com/images/M/MV5BMTM2NDkxMjQxMV5BMl5BanBnXkFtZTYwNTMxMDM4._V1_UY209_CR0,0,140,209_AL_.jpg'&gt;&lt;/td&gt;&lt;td class='beschreibung'&gt;&lt;strong&gt;Der goldene Kompass&lt;/strong&gt;&lt;br&gt;Jahr: 2007&lt;br&gt;Filmmusik&lt;br&gt;Rolle: Komponent&lt;br&gt;Typ: Kinofilm&lt;br&gt;&lt;a href='https://www.imdb.com/title/tt0385752/?ref_=nm_flmg_com_80'&gt;Link&lt;/a&gt;&lt;/td&gt;&lt;/tr&gt;</v>
      </c>
    </row>
    <row r="82" spans="1:9" x14ac:dyDescent="0.25">
      <c r="A82" t="s">
        <v>927</v>
      </c>
      <c r="B82" t="s">
        <v>1</v>
      </c>
      <c r="C82" t="s">
        <v>0</v>
      </c>
      <c r="D82" t="s">
        <v>261</v>
      </c>
      <c r="E82" t="s">
        <v>743</v>
      </c>
      <c r="F82" t="s">
        <v>684</v>
      </c>
      <c r="G82" t="s">
        <v>85</v>
      </c>
      <c r="H82" t="str">
        <f t="shared" si="3"/>
        <v>tt0457419</v>
      </c>
      <c r="I82" t="str">
        <f t="shared" si="2"/>
        <v>&lt;tr class='rowfilm'&gt;&lt;td class='film'&gt;&lt;img src=' https://m.media-amazon.com/images/M/MV5BMTI4MzY1OTY3NF5BMl5BanBnXkFtZTYwNzU1Nzc4._V1_UY209_CR0,0,140,209_AL_.jpg'&gt;&lt;/td&gt;&lt;td class='beschreibung'&gt;&lt;strong&gt;Mr. Magoriums Wunderladen&lt;/strong&gt;&lt;br&gt;Jahr: 2007&lt;br&gt;Filmmusik&lt;br&gt;Rolle: Komponent&lt;br&gt;Typ: Kinofilm&lt;br&gt;&lt;a href='https://www.imdb.com/title/tt0457419/?ref_=nm_flmg_com_81'&gt;Link&lt;/a&gt;&lt;/td&gt;&lt;/tr&gt;</v>
      </c>
    </row>
    <row r="83" spans="1:9" x14ac:dyDescent="0.25">
      <c r="A83" t="s">
        <v>928</v>
      </c>
      <c r="B83" t="s">
        <v>1</v>
      </c>
      <c r="C83" t="s">
        <v>0</v>
      </c>
      <c r="D83" t="s">
        <v>261</v>
      </c>
      <c r="E83" t="s">
        <v>743</v>
      </c>
      <c r="F83" t="s">
        <v>262</v>
      </c>
      <c r="G83" t="s">
        <v>86</v>
      </c>
      <c r="H83" t="str">
        <f t="shared" si="3"/>
        <v>tt0825248</v>
      </c>
      <c r="I83" t="str">
        <f t="shared" si="2"/>
        <v>&lt;tr class='rowfilm'&gt;&lt;td class='film'&gt;&lt;img src=' https://m.media-amazon.com/images/M/MV5BMzhiYzYzNTktNzk4My00MTNjLWE0NmEtZWNhNzU3MjFiZWNmXkEyXkFqcGdeQXVyNzgzODI1OTE@._V1_UY209_CR8,0,140,209_AL_.jpg'&gt;&lt;/td&gt;&lt;td class='beschreibung'&gt;&lt;strong&gt;Der Feind in den eigenen Reihen - Intimate Enemies&lt;/strong&gt;&lt;br&gt;Jahr: 2007&lt;br&gt;Filmmusik&lt;br&gt;Rolle: Komponent&lt;br&gt;Typ: Kinofilm&lt;br&gt;&lt;a href='https://www.imdb.com/title/tt0825248/?ref_=nm_flmg_com_82'&gt;Link&lt;/a&gt;&lt;/td&gt;&lt;/tr&gt;</v>
      </c>
    </row>
    <row r="84" spans="1:9" x14ac:dyDescent="0.25">
      <c r="A84" t="s">
        <v>926</v>
      </c>
      <c r="B84" t="s">
        <v>1</v>
      </c>
      <c r="C84" t="s">
        <v>0</v>
      </c>
      <c r="D84" t="s">
        <v>261</v>
      </c>
      <c r="E84" t="s">
        <v>743</v>
      </c>
      <c r="F84" t="s">
        <v>263</v>
      </c>
      <c r="G84" t="s">
        <v>87</v>
      </c>
      <c r="H84" t="str">
        <f t="shared" si="3"/>
        <v>tt0808357</v>
      </c>
      <c r="I84" t="str">
        <f t="shared" si="2"/>
        <v>&lt;tr class='rowfilm'&gt;&lt;td class='film'&gt;&lt;img src=' https://m.media-amazon.com/images/M/MV5BMTI3MDI5ODMyNl5BMl5BanBnXkFtZTcwMTM2MjA1MQ@@._V1_UY209_CR0,0,140,209_AL_.jpg'&gt;&lt;/td&gt;&lt;td class='beschreibung'&gt;&lt;strong&gt;Gefahr und Begierde&lt;/strong&gt;&lt;br&gt;Jahr: 2007&lt;br&gt;Filmmusik&lt;br&gt;Rolle: Komponent&lt;br&gt;Typ: Kinofilm&lt;br&gt;&lt;a href='https://www.imdb.com/title/tt0808357/?ref_=nm_flmg_com_83'&gt;Link&lt;/a&gt;&lt;/td&gt;&lt;/tr&gt;</v>
      </c>
    </row>
    <row r="85" spans="1:9" x14ac:dyDescent="0.25">
      <c r="A85" t="s">
        <v>932</v>
      </c>
      <c r="B85" t="s">
        <v>1</v>
      </c>
      <c r="C85" t="s">
        <v>0</v>
      </c>
      <c r="D85" t="s">
        <v>261</v>
      </c>
      <c r="E85" t="s">
        <v>701</v>
      </c>
      <c r="F85" t="s">
        <v>705</v>
      </c>
      <c r="G85" t="s">
        <v>88</v>
      </c>
      <c r="H85" t="str">
        <f t="shared" si="3"/>
        <v>tt1010457</v>
      </c>
      <c r="I85" t="str">
        <f t="shared" si="2"/>
        <v>&lt;tr class='rowfilm'&gt;&lt;td class='film'&gt;&lt;img src=' https://m.media-amazon.com/images/M/MV5BOTNhZTRmYTEtODY0Yy00NzA5LTg4MTUtOTg4ZGY1OTI5ZDgyXkEyXkFqcGdeQXVyNzI4MDMyMTU@._V1_UY209_CR8,0,140,209_AL_.jpg'&gt;&lt;/td&gt;&lt;td class='beschreibung'&gt;&lt;strong&gt;Ségo et Sarko sont dans un bateau…&lt;/strong&gt;&lt;br&gt;Jahr: 2007&lt;br&gt;Filmmusik&lt;br&gt;Rolle: Komponent&lt;br&gt;Typ: Dokumentarfilm&lt;br&gt;&lt;a href='https://www.imdb.com/title/tt1010457/?ref_=nm_flmg_com_84'&gt;Link&lt;/a&gt;&lt;/td&gt;&lt;/tr&gt;</v>
      </c>
    </row>
    <row r="86" spans="1:9" x14ac:dyDescent="0.25">
      <c r="A86" t="s">
        <v>929</v>
      </c>
      <c r="B86" t="s">
        <v>1</v>
      </c>
      <c r="C86" t="s">
        <v>0</v>
      </c>
      <c r="D86" t="s">
        <v>261</v>
      </c>
      <c r="E86" t="s">
        <v>743</v>
      </c>
      <c r="F86" t="s">
        <v>264</v>
      </c>
      <c r="G86" t="s">
        <v>89</v>
      </c>
      <c r="H86" t="str">
        <f t="shared" si="3"/>
        <v>tt0478705</v>
      </c>
      <c r="I86" t="str">
        <f t="shared" si="2"/>
        <v>&lt;tr class='rowfilm'&gt;&lt;td class='film'&gt;&lt;img src=' https://m.media-amazon.com/images/M/MV5BNGFjYTMxNWEtMTVkOC00OTcwLWE0ZjUtMzdhYWFiNmViOTc5XkEyXkFqcGdeQXVyMjExNjgyMTc@._V1_UY209_CR8,0,140,209_AL_.jpg'&gt;&lt;/td&gt;&lt;td class='beschreibung'&gt;&lt;strong&gt;Michou d'Auber&lt;/strong&gt;&lt;br&gt;Jahr: 2007&lt;br&gt;Filmmusik&lt;br&gt;Rolle: Komponent&lt;br&gt;Typ: Kinofilm&lt;br&gt;&lt;a href='https://www.imdb.com/title/tt0478705/?ref_=nm_flmg_com_85'&gt;Link&lt;/a&gt;&lt;/td&gt;&lt;/tr&gt;</v>
      </c>
    </row>
    <row r="87" spans="1:9" x14ac:dyDescent="0.25">
      <c r="A87" t="s">
        <v>936</v>
      </c>
      <c r="B87" t="s">
        <v>1</v>
      </c>
      <c r="C87" t="s">
        <v>0</v>
      </c>
      <c r="D87" t="s">
        <v>265</v>
      </c>
      <c r="E87" t="s">
        <v>743</v>
      </c>
      <c r="F87" t="s">
        <v>266</v>
      </c>
      <c r="G87" t="s">
        <v>90</v>
      </c>
      <c r="H87" t="str">
        <f t="shared" si="3"/>
        <v>tt0446755</v>
      </c>
      <c r="I87" t="str">
        <f t="shared" si="2"/>
        <v>&lt;tr class='rowfilm'&gt;&lt;td class='film'&gt;&lt;img src=' https://m.media-amazon.com/images/M/MV5BMTMzODg4MjU4OF5BMl5BanBnXkFtZTYwNDAzNTU3._V1_UY209_CR0,0,140,209_AL_.jpg'&gt;&lt;/td&gt;&lt;td class='beschreibung'&gt;&lt;strong&gt;Der bunte Schleier&lt;/strong&gt;&lt;br&gt;Jahr: 2006&lt;br&gt;Filmmusik&lt;br&gt;Rolle: Komponent&lt;br&gt;Typ: Kinofilm&lt;br&gt;&lt;a href='https://www.imdb.com/title/tt0446755/?ref_=nm_flmg_com_86'&gt;Link&lt;/a&gt;&lt;/td&gt;&lt;/tr&gt;</v>
      </c>
    </row>
    <row r="88" spans="1:9" x14ac:dyDescent="0.25">
      <c r="A88" t="s">
        <v>935</v>
      </c>
      <c r="B88" t="s">
        <v>1</v>
      </c>
      <c r="C88" t="s">
        <v>0</v>
      </c>
      <c r="D88" t="s">
        <v>265</v>
      </c>
      <c r="E88" t="s">
        <v>743</v>
      </c>
      <c r="F88" t="s">
        <v>267</v>
      </c>
      <c r="G88" t="s">
        <v>91</v>
      </c>
      <c r="H88" t="str">
        <f t="shared" si="3"/>
        <v>tt0436697</v>
      </c>
      <c r="I88" t="str">
        <f t="shared" si="2"/>
        <v>&lt;tr class='rowfilm'&gt;&lt;td class='film'&gt;&lt;img src=' https://m.media-amazon.com/images/M/MV5BMTQ3NTMxODg1Ml5BMl5BanBnXkFtZTcwMjEyMjczMQ@@._V1_UY209_CR0,0,140,209_AL_.jpg'&gt;&lt;/td&gt;&lt;td class='beschreibung'&gt;&lt;strong&gt;Die Queen&lt;/strong&gt;&lt;br&gt;Jahr: 2006&lt;br&gt;Filmmusik&lt;br&gt;Rolle: Komponent&lt;br&gt;Typ: Kinofilm&lt;br&gt;&lt;a href='https://www.imdb.com/title/tt0436697/?ref_=nm_flmg_com_87'&gt;Link&lt;/a&gt;&lt;/td&gt;&lt;/tr&gt;</v>
      </c>
    </row>
    <row r="89" spans="1:9" x14ac:dyDescent="0.25">
      <c r="A89" t="s">
        <v>939</v>
      </c>
      <c r="B89" t="s">
        <v>1</v>
      </c>
      <c r="C89" t="s">
        <v>0</v>
      </c>
      <c r="D89" t="s">
        <v>265</v>
      </c>
      <c r="E89" t="s">
        <v>743</v>
      </c>
      <c r="F89" t="s">
        <v>716</v>
      </c>
      <c r="G89" t="s">
        <v>92</v>
      </c>
      <c r="H89" t="str">
        <f t="shared" si="3"/>
        <v>tt0464828</v>
      </c>
      <c r="I89" t="str">
        <f t="shared" si="2"/>
        <v>&lt;tr class='rowfilm'&gt;&lt;td class='film'&gt;&lt;img src=' https://m.media-amazon.com/images/M/MV5BMTcxNjA0MTQ3MV5BMl5BanBnXkFtZTcwODgzMzA2Mg@@._V1_UY209_CR7,0,140,209_AL_.jpg'&gt;&lt;/td&gt;&lt;td class='beschreibung'&gt;&lt;strong&gt;Chanson d'amour&lt;/strong&gt;&lt;br&gt;Jahr: 2006&lt;br&gt;Filmmusik&lt;br&gt;Rolle: Komponent&lt;br&gt;Typ: Kinofilm&lt;br&gt;&lt;a href='https://www.imdb.com/title/tt0464828/?ref_=nm_flmg_com_88'&gt;Link&lt;/a&gt;&lt;/td&gt;&lt;/tr&gt;</v>
      </c>
    </row>
    <row r="90" spans="1:9" x14ac:dyDescent="0.25">
      <c r="A90" t="s">
        <v>938</v>
      </c>
      <c r="B90" t="s">
        <v>1</v>
      </c>
      <c r="C90" t="s">
        <v>0</v>
      </c>
      <c r="D90" t="s">
        <v>265</v>
      </c>
      <c r="E90" t="s">
        <v>743</v>
      </c>
      <c r="F90" t="s">
        <v>268</v>
      </c>
      <c r="G90" t="s">
        <v>93</v>
      </c>
      <c r="H90" t="str">
        <f t="shared" si="3"/>
        <v>tt0449851</v>
      </c>
      <c r="I90" t="str">
        <f t="shared" si="2"/>
        <v>&lt;tr class='rowfilm'&gt;&lt;td class='film'&gt;&lt;img src=' https://m.media-amazon.com/images/M/MV5BMTkzZWZkZDItYTMyOC00ZTkzLWFhNGMtYzk1NWUzODdjN2MxXkEyXkFqcGdeQXVyNzM1MDEyNjM@._V1_UY209_CR8,0,140,209_AL_.jpg'&gt;&lt;/td&gt;&lt;td class='beschreibung'&gt;&lt;strong&gt;In flagranti - Wohin mit der Geliebten?&lt;/strong&gt;&lt;br&gt;Jahr: 2006&lt;br&gt;Filmmusik&lt;br&gt;Rolle: Komponent&lt;br&gt;Typ: Kinofilm&lt;br&gt;&lt;a href='https://www.imdb.com/title/tt0449851/?ref_=nm_flmg_com_89'&gt;Link&lt;/a&gt;&lt;/td&gt;&lt;/tr&gt;</v>
      </c>
    </row>
    <row r="91" spans="1:9" x14ac:dyDescent="0.25">
      <c r="A91" t="s">
        <v>934</v>
      </c>
      <c r="B91" t="s">
        <v>1</v>
      </c>
      <c r="C91" t="s">
        <v>0</v>
      </c>
      <c r="D91" t="s">
        <v>265</v>
      </c>
      <c r="E91" t="s">
        <v>743</v>
      </c>
      <c r="F91" t="s">
        <v>269</v>
      </c>
      <c r="G91" t="s">
        <v>94</v>
      </c>
      <c r="H91" t="str">
        <f t="shared" si="3"/>
        <v>tt0408345</v>
      </c>
      <c r="I91" t="str">
        <f t="shared" si="2"/>
        <v>&lt;tr class='rowfilm'&gt;&lt;td class='film'&gt;&lt;img src=' https://m.media-amazon.com/images/M/MV5BMTkwOTAyMTkwOV5BMl5BanBnXkFtZTYwMjY2MTM3._V1_UY209_CR0,0,140,209_AL_.jpg'&gt;&lt;/td&gt;&lt;td class='beschreibung'&gt;&lt;strong&gt;Firewall&lt;/strong&gt;&lt;br&gt;Jahr: 2006&lt;br&gt;Filmmusik&lt;br&gt;Rolle: Komponent&lt;br&gt;Typ: Kinofilm&lt;br&gt;&lt;a href='https://www.imdb.com/title/tt0408345/?ref_=nm_flmg_com_90'&gt;Link&lt;/a&gt;&lt;/td&gt;&lt;/tr&gt;</v>
      </c>
    </row>
    <row r="92" spans="1:9" x14ac:dyDescent="0.25">
      <c r="A92" t="s">
        <v>937</v>
      </c>
      <c r="B92" t="s">
        <v>1</v>
      </c>
      <c r="C92" t="s">
        <v>0</v>
      </c>
      <c r="D92" t="s">
        <v>265</v>
      </c>
      <c r="E92" t="s">
        <v>743</v>
      </c>
      <c r="F92" t="s">
        <v>270</v>
      </c>
      <c r="G92" t="s">
        <v>95</v>
      </c>
      <c r="H92" t="str">
        <f t="shared" si="3"/>
        <v>tt0409681</v>
      </c>
      <c r="I92" t="str">
        <f t="shared" si="2"/>
        <v>&lt;tr class='rowfilm'&gt;&lt;td class='film'&gt;&lt;img src=' https://m.media-amazon.com/images/M/MV5BZThjYmMyNGQtYjZhOC00Yzg4LThlNzItNWMyYmExYTIwZTg1XkEyXkFqcGdeQXVyNjU0NTI0Nw@@._V1_UY209_CR8,0,140,209_AL_.jpg'&gt;&lt;/td&gt;&lt;td class='beschreibung'&gt;&lt;strong&gt;Alibi&lt;/strong&gt;&lt;br&gt;Jahr: 2006&lt;br&gt;Filmmusik&lt;br&gt;Rolle: Komponent&lt;br&gt;Typ: Kinofilm&lt;br&gt;&lt;a href='https://www.imdb.com/title/tt0409681/?ref_=nm_flmg_com_91'&gt;Link&lt;/a&gt;&lt;/td&gt;&lt;/tr&gt;</v>
      </c>
    </row>
    <row r="93" spans="1:9" x14ac:dyDescent="0.25">
      <c r="A93" t="s">
        <v>943</v>
      </c>
      <c r="B93" t="s">
        <v>1</v>
      </c>
      <c r="C93" t="s">
        <v>0</v>
      </c>
      <c r="D93" t="s">
        <v>271</v>
      </c>
      <c r="E93" t="s">
        <v>743</v>
      </c>
      <c r="F93" t="s">
        <v>272</v>
      </c>
      <c r="G93" t="s">
        <v>96</v>
      </c>
      <c r="H93" t="str">
        <f t="shared" si="3"/>
        <v>tt0365737</v>
      </c>
      <c r="I93" t="str">
        <f t="shared" si="2"/>
        <v>&lt;tr class='rowfilm'&gt;&lt;td class='film'&gt;&lt;img src=' https://m.media-amazon.com/images/M/MV5BMjA2MTQwMTg0N15BMl5BanBnXkFtZTcwOTE5NjEzMQ@@._V1_UY209_CR1,0,140,209_AL_.jpg'&gt;&lt;/td&gt;&lt;td class='beschreibung'&gt;&lt;strong&gt;Syriana&lt;/strong&gt;&lt;br&gt;Jahr: 2005&lt;br&gt;Filmmusik&lt;br&gt;Rolle: Komponent&lt;br&gt;Typ: Kinofilm&lt;br&gt;&lt;a href='https://www.imdb.com/title/tt0365737/?ref_=nm_flmg_com_92'&gt;Link&lt;/a&gt;&lt;/td&gt;&lt;/tr&gt;</v>
      </c>
    </row>
    <row r="94" spans="1:9" x14ac:dyDescent="0.25">
      <c r="A94" t="s">
        <v>945</v>
      </c>
      <c r="B94" t="s">
        <v>1</v>
      </c>
      <c r="C94" t="s">
        <v>0</v>
      </c>
      <c r="D94" t="s">
        <v>271</v>
      </c>
      <c r="E94" t="s">
        <v>743</v>
      </c>
      <c r="F94" t="s">
        <v>273</v>
      </c>
      <c r="G94" t="s">
        <v>97</v>
      </c>
      <c r="H94" t="str">
        <f t="shared" si="3"/>
        <v>tt0402894</v>
      </c>
      <c r="I94" t="str">
        <f t="shared" si="2"/>
        <v>&lt;tr class='rowfilm'&gt;&lt;td class='film'&gt;&lt;img src=' https://m.media-amazon.com/images/M/MV5BZTM2MGFmMjctM2EyNi00MmI4LTkyYjItMDhjZWQ4MjUyNGJhXkEyXkFqcGdeQXVyMTQxNzMzNDI@._V1_UY209_CR0,0,140,209_AL_.jpg'&gt;&lt;/td&gt;&lt;td class='beschreibung'&gt;&lt;strong&gt;Casanova&lt;/strong&gt;&lt;br&gt;Jahr: 2005&lt;br&gt;Filmmusik&lt;br&gt;Rolle: Komponent&lt;br&gt;Typ: Kinofilm&lt;br&gt;&lt;a href='https://www.imdb.com/title/tt0402894/?ref_=nm_flmg_com_93'&gt;Link&lt;/a&gt;&lt;/td&gt;&lt;/tr&gt;</v>
      </c>
    </row>
    <row r="95" spans="1:9" x14ac:dyDescent="0.25">
      <c r="A95" t="s">
        <v>948</v>
      </c>
      <c r="B95" t="s">
        <v>1</v>
      </c>
      <c r="C95" t="s">
        <v>0</v>
      </c>
      <c r="D95" t="s">
        <v>271</v>
      </c>
      <c r="E95" t="s">
        <v>743</v>
      </c>
      <c r="F95" t="s">
        <v>274</v>
      </c>
      <c r="G95" t="s">
        <v>98</v>
      </c>
      <c r="H95" t="str">
        <f t="shared" si="3"/>
        <v>tt0380834</v>
      </c>
      <c r="I95" t="str">
        <f t="shared" si="2"/>
        <v>&lt;tr class='rowfilm'&gt;&lt;td class='film'&gt;&lt;img src=' https://m.media-amazon.com/images/M/MV5BMjMzOTQ2NTc1N15BMl5BanBnXkFtZTgwMDIxMDA2MDE@._V1_UY209_CR7,0,140,209_AL_.jpg'&gt;&lt;/td&gt;&lt;td class='beschreibung'&gt;&lt;strong&gt;Une aventure&lt;/strong&gt;&lt;br&gt;Jahr: 2005&lt;br&gt;Filmmusik&lt;br&gt;Rolle: Komponent&lt;br&gt;Typ: Kinofilm&lt;br&gt;&lt;a href='https://www.imdb.com/title/tt0380834/?ref_=nm_flmg_com_94'&gt;Link&lt;/a&gt;&lt;/td&gt;&lt;/tr&gt;</v>
      </c>
    </row>
    <row r="96" spans="1:9" x14ac:dyDescent="0.25">
      <c r="A96" t="s">
        <v>942</v>
      </c>
      <c r="B96" t="s">
        <v>1</v>
      </c>
      <c r="C96" t="s">
        <v>0</v>
      </c>
      <c r="D96" t="s">
        <v>271</v>
      </c>
      <c r="E96" t="s">
        <v>743</v>
      </c>
      <c r="F96" t="s">
        <v>275</v>
      </c>
      <c r="G96" t="s">
        <v>99</v>
      </c>
      <c r="H96" t="str">
        <f t="shared" si="3"/>
        <v>tt0340163</v>
      </c>
      <c r="I96" t="str">
        <f t="shared" si="2"/>
        <v>&lt;tr class='rowfilm'&gt;&lt;td class='film'&gt;&lt;img src=' https://m.media-amazon.com/images/M/MV5BNmE3NTEzODUtMTJjMC00ODk3LTk4MzMtNmY5Mjg4M2M4OThhXkEyXkFqcGdeQXVyNTIzOTk5ODM@._V1_UX140_CR0,0,140,209_AL_.jpg'&gt;&lt;/td&gt;&lt;td class='beschreibung'&gt;&lt;strong&gt;Hostage - Entführt&lt;/strong&gt;&lt;br&gt;Jahr: 2005&lt;br&gt;Filmmusik&lt;br&gt;Rolle: Komponent&lt;br&gt;Typ: Kinofilm&lt;br&gt;&lt;a href='https://www.imdb.com/title/tt0340163/?ref_=nm_flmg_com_95'&gt;Link&lt;/a&gt;&lt;/td&gt;&lt;/tr&gt;</v>
      </c>
    </row>
    <row r="97" spans="1:9" x14ac:dyDescent="0.25">
      <c r="A97" t="s">
        <v>947</v>
      </c>
      <c r="B97" t="s">
        <v>1</v>
      </c>
      <c r="C97" t="s">
        <v>0</v>
      </c>
      <c r="D97" t="s">
        <v>271</v>
      </c>
      <c r="E97" t="s">
        <v>743</v>
      </c>
      <c r="F97" t="s">
        <v>276</v>
      </c>
      <c r="G97" t="s">
        <v>100</v>
      </c>
      <c r="H97" t="str">
        <f t="shared" si="3"/>
        <v>tt0411270</v>
      </c>
      <c r="I97" t="str">
        <f t="shared" si="2"/>
        <v>&lt;tr class='rowfilm'&gt;&lt;td class='film'&gt;&lt;img src=' https://m.media-amazon.com/images/M/MV5BMjA5NzM5OTcxMF5BMl5BanBnXkFtZTcwMTExMjAzMQ@@._V1_UY209_CR0,0,140,209_AL_.jpg'&gt;&lt;/td&gt;&lt;td class='beschreibung'&gt;&lt;strong&gt;Der wilde Schlag meines Herzens&lt;/strong&gt;&lt;br&gt;Jahr: 2005&lt;br&gt;Filmmusik&lt;br&gt;Rolle: Komponent&lt;br&gt;Typ: Kinofilm&lt;br&gt;&lt;a href='https://www.imdb.com/title/tt0411270/?ref_=nm_flmg_com_96'&gt;Link&lt;/a&gt;&lt;/td&gt;&lt;/tr&gt;</v>
      </c>
    </row>
    <row r="98" spans="1:9" x14ac:dyDescent="0.25">
      <c r="A98" t="s">
        <v>946</v>
      </c>
      <c r="B98" t="s">
        <v>1</v>
      </c>
      <c r="C98" t="s">
        <v>0</v>
      </c>
      <c r="D98" t="s">
        <v>271</v>
      </c>
      <c r="E98" t="s">
        <v>743</v>
      </c>
      <c r="F98" t="s">
        <v>277</v>
      </c>
      <c r="G98" t="s">
        <v>101</v>
      </c>
      <c r="H98" t="str">
        <f t="shared" si="3"/>
        <v>tt0365885</v>
      </c>
      <c r="I98" t="str">
        <f t="shared" si="2"/>
        <v>&lt;tr class='rowfilm'&gt;&lt;td class='film'&gt;&lt;img src=' https://m.media-amazon.com/images/M/MV5BMTIyODM2MzUzM15BMl5BanBnXkFtZTcwMDQ4MzgyMQ@@._V1_UY209_CR0,0,140,209_AL_.jpg'&gt;&lt;/td&gt;&lt;td class='beschreibung'&gt;&lt;strong&gt;An deiner Schulter&lt;/strong&gt;&lt;br&gt;Jahr: 2005&lt;br&gt;Filmmusik&lt;br&gt;Rolle: Komponent&lt;br&gt;Typ: Kinofilm&lt;br&gt;&lt;a href='https://www.imdb.com/title/tt0365885/?ref_=nm_flmg_com_97'&gt;Link&lt;/a&gt;&lt;/td&gt;&lt;/tr&gt;</v>
      </c>
    </row>
    <row r="99" spans="1:9" x14ac:dyDescent="0.25">
      <c r="A99" t="s">
        <v>949</v>
      </c>
      <c r="B99" t="s">
        <v>1</v>
      </c>
      <c r="C99" t="s">
        <v>0</v>
      </c>
      <c r="D99" t="s">
        <v>271</v>
      </c>
      <c r="E99" t="s">
        <v>743</v>
      </c>
      <c r="F99" t="s">
        <v>278</v>
      </c>
      <c r="G99" t="s">
        <v>102</v>
      </c>
      <c r="H99" t="str">
        <f t="shared" si="3"/>
        <v>tt0400897</v>
      </c>
      <c r="I99" t="str">
        <f t="shared" si="2"/>
        <v>&lt;tr class='rowfilm'&gt;&lt;td class='film'&gt;&lt;img src=' https://m.media-amazon.com/images/M/MV5BYzNjNWUyNjMtYWEzNi00MTg3LThkOWYtZTlkZGY1YWM3Mjk2XkEyXkFqcGdeQXVyNzEyMDU1MzU@._V1_UY209_CR8,0,140,209_AL_.jpg'&gt;&lt;/td&gt;&lt;td class='beschreibung'&gt;&lt;strong&gt;Tu vas rire, mais je te quitte&lt;/strong&gt;&lt;br&gt;Jahr: 2005&lt;br&gt;Filmmusik&lt;br&gt;Rolle: Komponent&lt;br&gt;Typ: Kinofilm&lt;br&gt;&lt;a href='https://www.imdb.com/title/tt0400897/?ref_=nm_flmg_com_98'&gt;Link&lt;/a&gt;&lt;/td&gt;&lt;/tr&gt;</v>
      </c>
    </row>
    <row r="100" spans="1:9" x14ac:dyDescent="0.25">
      <c r="A100" t="s">
        <v>952</v>
      </c>
      <c r="B100" t="s">
        <v>1</v>
      </c>
      <c r="C100" t="s">
        <v>0</v>
      </c>
      <c r="D100" t="s">
        <v>279</v>
      </c>
      <c r="E100" t="s">
        <v>743</v>
      </c>
      <c r="F100" t="s">
        <v>280</v>
      </c>
      <c r="G100" t="s">
        <v>103</v>
      </c>
      <c r="H100" t="str">
        <f t="shared" si="3"/>
        <v>tt0380349</v>
      </c>
      <c r="I100" t="str">
        <f t="shared" si="2"/>
        <v>&lt;tr class='rowfilm'&gt;&lt;td class='film'&gt;&lt;img src=' https://m.media-amazon.com/images/M/MV5BZjg0ZGFhZjQtOGMwZC00MDNmLTk2MTUtNGIyNjE4YjIyOGQ4XkEyXkFqcGdeQXVyODIyOTEyMzY@._V1_UY209_CR3,0,140,209_AL_.jpg'&gt;&lt;/td&gt;&lt;td class='beschreibung'&gt;&lt;strong&gt;Willkommen bei den Korsen&lt;/strong&gt;&lt;br&gt;Jahr: 2004&lt;br&gt;Filmmusik&lt;br&gt;Rolle: Komponent&lt;br&gt;Typ: Kinofilm&lt;br&gt;&lt;a href='https://www.imdb.com/title/tt0380349/?ref_=nm_flmg_com_99'&gt;Link&lt;/a&gt;&lt;/td&gt;&lt;/tr&gt;</v>
      </c>
    </row>
    <row r="101" spans="1:9" x14ac:dyDescent="0.25">
      <c r="A101" t="s">
        <v>950</v>
      </c>
      <c r="B101" t="s">
        <v>1</v>
      </c>
      <c r="C101" t="s">
        <v>0</v>
      </c>
      <c r="D101" t="s">
        <v>279</v>
      </c>
      <c r="E101" t="s">
        <v>743</v>
      </c>
      <c r="F101" t="s">
        <v>281</v>
      </c>
      <c r="G101" t="s">
        <v>104</v>
      </c>
      <c r="H101" t="str">
        <f t="shared" si="3"/>
        <v>tt0337876</v>
      </c>
      <c r="I101" t="str">
        <f t="shared" si="2"/>
        <v>&lt;tr class='rowfilm'&gt;&lt;td class='film'&gt;&lt;img src=' https://m.media-amazon.com/images/M/MV5BNzUzNzI4MzU4NV5BMl5BanBnXkFtZTcwMjcxMzcyMQ@@._V1_UY209_CR0,0,140,209_AL_.jpg'&gt;&lt;/td&gt;&lt;td class='beschreibung'&gt;&lt;strong&gt;Birth&lt;/strong&gt;&lt;br&gt;Jahr: 2004&lt;br&gt;Filmmusik&lt;br&gt;Rolle: Komponent&lt;br&gt;Typ: Kinofilm&lt;br&gt;&lt;a href='https://www.imdb.com/title/tt0337876/?ref_=nm_flmg_com_100'&gt;Link&lt;/a&gt;&lt;/td&gt;&lt;/tr&gt;</v>
      </c>
    </row>
    <row r="102" spans="1:9" x14ac:dyDescent="0.25">
      <c r="A102" t="s">
        <v>954</v>
      </c>
      <c r="B102" t="s">
        <v>1</v>
      </c>
      <c r="C102" t="s">
        <v>0</v>
      </c>
      <c r="D102" t="s">
        <v>279</v>
      </c>
      <c r="E102" t="s">
        <v>717</v>
      </c>
      <c r="F102" t="s">
        <v>718</v>
      </c>
      <c r="G102" t="s">
        <v>105</v>
      </c>
      <c r="H102" t="str">
        <f t="shared" si="3"/>
        <v>tt0402431</v>
      </c>
      <c r="I102" t="str">
        <f t="shared" si="2"/>
        <v>&lt;tr class='rowfilm'&gt;&lt;td class='film'&gt;&lt;img src=' https://m.media-amazon.com/images/M/MV5BYmIwZDQwNWUtZGViYy00NTE3LTkzMTItNzExNzUzZWFlY2RmXkEyXkFqcGdeQXVyMjQzMzQzODY@._V1_UY209_CR9,0,140,209_AL_.jpg'&gt;&lt;/td&gt;&lt;td class='beschreibung'&gt;&lt;strong&gt;Le pays des enfants perdus&lt;/strong&gt;&lt;br&gt;Jahr: 2004&lt;br&gt;Filmmusik&lt;br&gt;Rolle: Komponent&lt;br&gt;Typ: Fernsehfilm&lt;br&gt;&lt;a href='https://www.imdb.com/title/tt0402431/?ref_=nm_flmg_com_101'&gt;Link&lt;/a&gt;&lt;/td&gt;&lt;/tr&gt;</v>
      </c>
    </row>
    <row r="103" spans="1:9" x14ac:dyDescent="0.25">
      <c r="A103" t="s">
        <v>959</v>
      </c>
      <c r="B103" t="s">
        <v>1</v>
      </c>
      <c r="C103" t="s">
        <v>0</v>
      </c>
      <c r="D103" t="s">
        <v>282</v>
      </c>
      <c r="E103" t="s">
        <v>743</v>
      </c>
      <c r="F103" t="s">
        <v>283</v>
      </c>
      <c r="G103" t="s">
        <v>106</v>
      </c>
      <c r="H103" t="str">
        <f t="shared" si="3"/>
        <v>tt0339204</v>
      </c>
      <c r="I103" t="str">
        <f t="shared" si="2"/>
        <v>&lt;tr class='rowfilm'&gt;&lt;td class='film'&gt;&lt;img src=' https://m.media-amazon.com/images/M/MV5BNTAwNTg4MDEzMF5BMl5BanBnXkFtZTcwMjE2MDcyMQ@@._V1_UY209_CR3,0,140,209_AL_.jpg'&gt;&lt;/td&gt;&lt;td class='beschreibung'&gt;&lt;strong&gt;Inquiétudes&lt;/strong&gt;&lt;br&gt;Jahr: 2003&lt;br&gt;Filmmusik&lt;br&gt;Rolle: Komponent&lt;br&gt;Typ: Kinofilm&lt;br&gt;&lt;a href='https://www.imdb.com/title/tt0339204/?ref_=nm_flmg_com_102'&gt;Link&lt;/a&gt;&lt;/td&gt;&lt;/tr&gt;</v>
      </c>
    </row>
    <row r="104" spans="1:9" x14ac:dyDescent="0.25">
      <c r="A104" t="s">
        <v>868</v>
      </c>
      <c r="B104" t="s">
        <v>1</v>
      </c>
      <c r="C104" t="s">
        <v>0</v>
      </c>
      <c r="D104" t="s">
        <v>282</v>
      </c>
      <c r="E104" t="s">
        <v>717</v>
      </c>
      <c r="F104" t="s">
        <v>739</v>
      </c>
      <c r="G104" t="s">
        <v>107</v>
      </c>
      <c r="H104" t="str">
        <f t="shared" si="3"/>
        <v>tt0387058</v>
      </c>
      <c r="I104" t="str">
        <f t="shared" si="2"/>
        <v>&lt;tr class='rowfilm'&gt;&lt;td class='film'&gt;&lt;img src=' https://m.media-amazon.com/images/G/01/imdb/images/nopicture/140x209/film-4001654135._CB466678728_.png'&gt;&lt;/td&gt;&lt;td class='beschreibung'&gt;&lt;strong&gt;Les beaux jours (als Alexandre Desplats)&lt;/strong&gt;&lt;br&gt;Jahr: 2003&lt;br&gt;Filmmusik&lt;br&gt;Rolle: Komponent&lt;br&gt;Typ: Fernsehfilm&lt;br&gt;&lt;a href='https://www.imdb.com/title/tt0387058/?ref_=nm_flmg_com_103'&gt;Link&lt;/a&gt;&lt;/td&gt;&lt;/tr&gt;</v>
      </c>
    </row>
    <row r="105" spans="1:9" x14ac:dyDescent="0.25">
      <c r="A105" t="s">
        <v>955</v>
      </c>
      <c r="B105" t="s">
        <v>1</v>
      </c>
      <c r="C105" t="s">
        <v>0</v>
      </c>
      <c r="D105" t="s">
        <v>282</v>
      </c>
      <c r="E105" t="s">
        <v>743</v>
      </c>
      <c r="F105" t="s">
        <v>284</v>
      </c>
      <c r="G105" t="s">
        <v>108</v>
      </c>
      <c r="H105" t="str">
        <f t="shared" si="3"/>
        <v>tt0335119</v>
      </c>
      <c r="I105" t="str">
        <f t="shared" si="2"/>
        <v>&lt;tr class='rowfilm'&gt;&lt;td class='film'&gt;&lt;img src=' https://m.media-amazon.com/images/M/MV5BOTU3NTg5NDYtNWNkMC00ODZiLTljZjQtNjZhNjlhNjZiNDBlXkEyXkFqcGdeQXVyMTQxNzMzNDI@._V1_UY209_CR0,0,140,209_AL_.jpg'&gt;&lt;/td&gt;&lt;td class='beschreibung'&gt;&lt;strong&gt;Das Mädchen mit einem Perlenohrring&lt;/strong&gt;&lt;br&gt;Jahr: 2003&lt;br&gt;Filmmusik&lt;br&gt;Rolle: Komponent&lt;br&gt;Typ: Kinofilm&lt;br&gt;&lt;a href='https://www.imdb.com/title/tt0335119/?ref_=nm_flmg_com_104'&gt;Link&lt;/a&gt;&lt;/td&gt;&lt;/tr&gt;</v>
      </c>
    </row>
    <row r="106" spans="1:9" x14ac:dyDescent="0.25">
      <c r="A106" t="s">
        <v>958</v>
      </c>
      <c r="B106" t="s">
        <v>1</v>
      </c>
      <c r="C106" t="s">
        <v>0</v>
      </c>
      <c r="D106" t="s">
        <v>282</v>
      </c>
      <c r="E106" t="s">
        <v>743</v>
      </c>
      <c r="F106" t="s">
        <v>285</v>
      </c>
      <c r="G106" t="s">
        <v>109</v>
      </c>
      <c r="H106" t="str">
        <f t="shared" si="3"/>
        <v>tt0348876</v>
      </c>
      <c r="I106" t="str">
        <f t="shared" si="2"/>
        <v>&lt;tr class='rowfilm'&gt;&lt;td class='film'&gt;&lt;img src=' https://m.media-amazon.com/images/M/MV5BMTQzMTUxNDQ3NF5BMl5BanBnXkFtZTgwMDkxMDI2MTE@._V1_UY209_CR8,0,140,209_AL_.jpg'&gt;&lt;/td&gt;&lt;td class='beschreibung'&gt;&lt;strong&gt;Stormy Weather&lt;/strong&gt;&lt;br&gt;Jahr: 2003&lt;br&gt;Filmmusik&lt;br&gt;Rolle: Komponent&lt;br&gt;Typ: Kinofilm&lt;br&gt;&lt;a href='https://www.imdb.com/title/tt0348876/?ref_=nm_flmg_com_105'&gt;Link&lt;/a&gt;&lt;/td&gt;&lt;/tr&gt;</v>
      </c>
    </row>
    <row r="107" spans="1:9" x14ac:dyDescent="0.25">
      <c r="A107" t="s">
        <v>961</v>
      </c>
      <c r="B107" t="s">
        <v>1</v>
      </c>
      <c r="C107" t="s">
        <v>0</v>
      </c>
      <c r="D107" t="s">
        <v>282</v>
      </c>
      <c r="E107" t="s">
        <v>743</v>
      </c>
      <c r="F107" t="s">
        <v>286</v>
      </c>
      <c r="G107" t="s">
        <v>110</v>
      </c>
      <c r="H107" t="str">
        <f t="shared" si="3"/>
        <v>tt0318773</v>
      </c>
      <c r="I107" t="str">
        <f t="shared" si="2"/>
        <v>&lt;tr class='rowfilm'&gt;&lt;td class='film'&gt;&lt;img src=' https://m.media-amazon.com/images/M/MV5BNDRmYmY3NzctOGQwNS00NGMwLWIyOWMtMjYwMGMwY2U5Y2M5XkEyXkFqcGdeQXVyNzEyMDU1MzU@._V1_UY209_CR8,0,140,209_AL_.jpg'&gt;&lt;/td&gt;&lt;td class='beschreibung'&gt;&lt;strong&gt;Tristan&lt;/strong&gt;&lt;br&gt;Jahr: 2003&lt;br&gt;Filmmusik&lt;br&gt;Rolle: Komponent&lt;br&gt;Typ: Kinofilm&lt;br&gt;&lt;a href='https://www.imdb.com/title/tt0318773/?ref_=nm_flmg_com_106'&gt;Link&lt;/a&gt;&lt;/td&gt;&lt;/tr&gt;</v>
      </c>
    </row>
    <row r="108" spans="1:9" x14ac:dyDescent="0.25">
      <c r="A108" t="s">
        <v>956</v>
      </c>
      <c r="B108" t="s">
        <v>1</v>
      </c>
      <c r="C108" t="s">
        <v>0</v>
      </c>
      <c r="D108" t="s">
        <v>282</v>
      </c>
      <c r="E108" t="s">
        <v>743</v>
      </c>
      <c r="F108" t="s">
        <v>287</v>
      </c>
      <c r="G108" t="s">
        <v>111</v>
      </c>
      <c r="H108" t="str">
        <f t="shared" si="3"/>
        <v>tt0361474</v>
      </c>
      <c r="I108" t="str">
        <f t="shared" si="2"/>
        <v>&lt;tr class='rowfilm'&gt;&lt;td class='film'&gt;&lt;img src=' https://m.media-amazon.com/images/M/MV5BYTRhYWQ0Y2MtMTJhZS00ZTk0LTk0YzgtNTI3ZDJmY2E0ZDUyXkEyXkFqcGdeQXVyMjQ2MTk1OTE@._V1_UY209_CR8,0,140,209_AL_.jpg'&gt;&lt;/td&gt;&lt;td class='beschreibung'&gt;&lt;strong&gt;Es brennt in mir&lt;/strong&gt;&lt;br&gt;Jahr: 2003&lt;br&gt;Filmmusik&lt;br&gt;Rolle: Komponent&lt;br&gt;Typ: Kinofilm&lt;br&gt;&lt;a href='https://www.imdb.com/title/tt0361474/?ref_=nm_flmg_com_107'&gt;Link&lt;/a&gt;&lt;/td&gt;&lt;/tr&gt;</v>
      </c>
    </row>
    <row r="109" spans="1:9" x14ac:dyDescent="0.25">
      <c r="A109" t="s">
        <v>868</v>
      </c>
      <c r="B109" t="s">
        <v>1</v>
      </c>
      <c r="C109" t="s">
        <v>0</v>
      </c>
      <c r="D109" t="s">
        <v>282</v>
      </c>
      <c r="E109" t="s">
        <v>717</v>
      </c>
      <c r="F109" t="s">
        <v>719</v>
      </c>
      <c r="G109" t="s">
        <v>112</v>
      </c>
      <c r="H109" t="str">
        <f t="shared" si="3"/>
        <v>tt0372017</v>
      </c>
      <c r="I109" t="str">
        <f t="shared" si="2"/>
        <v>&lt;tr class='rowfilm'&gt;&lt;td class='film'&gt;&lt;img src=' https://m.media-amazon.com/images/G/01/imdb/images/nopicture/140x209/film-4001654135._CB466678728_.png'&gt;&lt;/td&gt;&lt;td class='beschreibung'&gt;&lt;strong&gt;Virus au paradis&lt;/strong&gt;&lt;br&gt;Jahr: 2003&lt;br&gt;Filmmusik&lt;br&gt;Rolle: Komponent&lt;br&gt;Typ: Fernsehfilm&lt;br&gt;&lt;a href='https://www.imdb.com/title/tt0372017/?ref_=nm_flmg_com_108'&gt;Link&lt;/a&gt;&lt;/td&gt;&lt;/tr&gt;</v>
      </c>
    </row>
    <row r="110" spans="1:9" x14ac:dyDescent="0.25">
      <c r="A110" t="s">
        <v>957</v>
      </c>
      <c r="B110" t="s">
        <v>1</v>
      </c>
      <c r="C110" t="s">
        <v>0</v>
      </c>
      <c r="D110" t="s">
        <v>282</v>
      </c>
      <c r="E110" t="s">
        <v>743</v>
      </c>
      <c r="F110" t="s">
        <v>288</v>
      </c>
      <c r="G110" t="s">
        <v>113</v>
      </c>
      <c r="H110" t="str">
        <f t="shared" si="3"/>
        <v>tt0325948</v>
      </c>
      <c r="I110" t="str">
        <f t="shared" si="2"/>
        <v>&lt;tr class='rowfilm'&gt;&lt;td class='film'&gt;&lt;img src=' https://m.media-amazon.com/images/M/MV5BMTM2MzQzMzc2M15BMl5BanBnXkFtZTcwNjM1NTQyMQ@@._V1_UY209_CR2,0,140,209_AL_.jpg'&gt;&lt;/td&gt;&lt;td class='beschreibung'&gt;&lt;strong&gt;Pakt des Schweigens&lt;/strong&gt;&lt;br&gt;Jahr: 2003&lt;br&gt;Filmmusik&lt;br&gt;Rolle: Komponent&lt;br&gt;Typ: Kinofilm&lt;br&gt;&lt;a href='https://www.imdb.com/title/tt0325948/?ref_=nm_flmg_com_109'&gt;Link&lt;/a&gt;&lt;/td&gt;&lt;/tr&gt;</v>
      </c>
    </row>
    <row r="111" spans="1:9" x14ac:dyDescent="0.25">
      <c r="A111" t="s">
        <v>962</v>
      </c>
      <c r="B111" t="s">
        <v>1</v>
      </c>
      <c r="C111" t="s">
        <v>0</v>
      </c>
      <c r="D111" t="s">
        <v>282</v>
      </c>
      <c r="E111" t="s">
        <v>743</v>
      </c>
      <c r="F111" t="s">
        <v>688</v>
      </c>
      <c r="G111" t="s">
        <v>114</v>
      </c>
      <c r="H111" t="str">
        <f t="shared" si="3"/>
        <v>tt0350580</v>
      </c>
      <c r="I111" t="str">
        <f t="shared" si="2"/>
        <v>&lt;tr class='rowfilm'&gt;&lt;td class='film'&gt;&lt;img src=' https://m.media-amazon.com/images/M/MV5BMjlkYWZhZjgtZTQwMi00ZDk1LTkxNDEtNDNhZmUxNGZlZTIyXkEyXkFqcGdeQXVyNzMzMjU5NDY@._V1_UY209_CR12,0,140,209_AL_.jpg'&gt;&lt;/td&gt;&lt;td class='beschreibung'&gt;&lt;strong&gt;Les baisers des autres&lt;/strong&gt;&lt;br&gt;Jahr: 2003&lt;br&gt;Filmmusik&lt;br&gt;Rolle: Komponent&lt;br&gt;Typ: Kinofilm&lt;br&gt;&lt;a href='https://www.imdb.com/title/tt0350580/?ref_=nm_flmg_com_110'&gt;Link&lt;/a&gt;&lt;/td&gt;&lt;/tr&gt;</v>
      </c>
    </row>
    <row r="112" spans="1:9" x14ac:dyDescent="0.25">
      <c r="A112" t="s">
        <v>960</v>
      </c>
      <c r="B112" t="s">
        <v>1</v>
      </c>
      <c r="C112" t="s">
        <v>0</v>
      </c>
      <c r="D112" t="s">
        <v>282</v>
      </c>
      <c r="E112" t="s">
        <v>743</v>
      </c>
      <c r="F112" t="s">
        <v>289</v>
      </c>
      <c r="G112" t="s">
        <v>115</v>
      </c>
      <c r="H112" t="str">
        <f t="shared" si="3"/>
        <v>tt0316494</v>
      </c>
      <c r="I112" t="str">
        <f t="shared" si="2"/>
        <v>&lt;tr class='rowfilm'&gt;&lt;td class='film'&gt;&lt;img src=' https://m.media-amazon.com/images/M/MV5BNzQwZTZlYjctNGZmMC00MjVlLWIyN2UtNDhkOGY5NzIwNmExXkEyXkFqcGdeQXVyNjExODE1MDc@._V1_UY209_CR8,0,140,209_AL_.jpg'&gt;&lt;/td&gt;&lt;td class='beschreibung'&gt;&lt;strong&gt;Rire et châtiment&lt;/strong&gt;&lt;br&gt;Jahr: 2003&lt;br&gt;Filmmusik&lt;br&gt;Rolle: Komponent&lt;br&gt;Typ: Kinofilm&lt;br&gt;&lt;a href='https://www.imdb.com/title/tt0316494/?ref_=nm_flmg_com_111'&gt;Link&lt;/a&gt;&lt;/td&gt;&lt;/tr&gt;</v>
      </c>
    </row>
    <row r="113" spans="1:9" x14ac:dyDescent="0.25">
      <c r="A113" t="s">
        <v>967</v>
      </c>
      <c r="B113" t="s">
        <v>1</v>
      </c>
      <c r="C113" t="s">
        <v>0</v>
      </c>
      <c r="D113" t="s">
        <v>290</v>
      </c>
      <c r="E113" t="s">
        <v>743</v>
      </c>
      <c r="F113" t="s">
        <v>740</v>
      </c>
      <c r="G113" t="s">
        <v>116</v>
      </c>
      <c r="H113" t="str">
        <f t="shared" si="3"/>
        <v>tt0337676</v>
      </c>
      <c r="I113" t="str">
        <f t="shared" si="2"/>
        <v>&lt;tr class='rowfilm'&gt;&lt;td class='film'&gt;&lt;img src=' https://m.media-amazon.com/images/M/MV5BOWVlZWQyYmQtMmIxMS00OGQxLWIzODItM2VmYWI4YTRiMWI5XkEyXkFqcGdeQXVyMTk3MTI5MzA@._V1_UY209_CR4,0,140,209_AL_.jpg'&gt;&lt;/td&gt;&lt;td class='beschreibung'&gt;&lt;strong&gt;Michel Audiard et le mystère du triangle des Bermudes&lt;/strong&gt;&lt;br&gt;Jahr: 2002&lt;br&gt;Filmmusik&lt;br&gt;Rolle: Komponent&lt;br&gt;Typ: Kinofilm&lt;br&gt;&lt;a href='https://www.imdb.com/title/tt0337676/?ref_=nm_flmg_com_112'&gt;Link&lt;/a&gt;&lt;/td&gt;&lt;/tr&gt;</v>
      </c>
    </row>
    <row r="114" spans="1:9" x14ac:dyDescent="0.25">
      <c r="A114" t="s">
        <v>974</v>
      </c>
      <c r="B114" t="s">
        <v>1</v>
      </c>
      <c r="C114" t="s">
        <v>0</v>
      </c>
      <c r="D114" t="s">
        <v>290</v>
      </c>
      <c r="E114" t="s">
        <v>667</v>
      </c>
      <c r="F114" t="s">
        <v>671</v>
      </c>
      <c r="G114" t="s">
        <v>117</v>
      </c>
      <c r="H114" t="str">
        <f t="shared" si="3"/>
        <v>tt0338411</v>
      </c>
      <c r="I114" t="str">
        <f t="shared" si="2"/>
        <v>&lt;tr class='rowfilm'&gt;&lt;td class='film'&gt;&lt;img src=' https://m.media-amazon.com/images/M/MV5BYWQzOWMzMjAtYzlmZC00ZTlkLTg1OGMtNjgyNDg0OGM0YmFmXkEyXkFqcGdeQXVyNDI5MDI2Mg@@._V1_UY209_CR4,0,140,209_AL_.jpg'&gt;&lt;/td&gt;&lt;td class='beschreibung'&gt;&lt;strong&gt;Sauveur Giordano&lt;/strong&gt;&lt;br&gt;Jahr: 2002&lt;br&gt;Filmmusik&lt;br&gt;Rolle: Komponent&lt;br&gt;Typ: TV Serie&lt;br&gt;&lt;a href='https://www.imdb.com/title/tt0338411/?ref_=nm_flmg_com_113'&gt;Link&lt;/a&gt;&lt;/td&gt;&lt;/tr&gt;</v>
      </c>
    </row>
    <row r="115" spans="1:9" x14ac:dyDescent="0.25">
      <c r="A115" t="s">
        <v>868</v>
      </c>
      <c r="B115" t="s">
        <v>1</v>
      </c>
      <c r="C115" t="s">
        <v>0</v>
      </c>
      <c r="D115" t="s">
        <v>290</v>
      </c>
      <c r="E115" t="s">
        <v>743</v>
      </c>
      <c r="F115" t="s">
        <v>741</v>
      </c>
      <c r="G115" t="s">
        <v>118</v>
      </c>
      <c r="H115" t="str">
        <f t="shared" si="3"/>
        <v>tt0456156</v>
      </c>
      <c r="I115" t="str">
        <f t="shared" si="2"/>
        <v>&lt;tr class='rowfilm'&gt;&lt;td class='film'&gt;&lt;img src=' https://m.media-amazon.com/images/G/01/imdb/images/nopicture/140x209/film-4001654135._CB466678728_.png'&gt;&lt;/td&gt;&lt;td class='beschreibung'&gt;&lt;strong&gt;Paroles d'étoiles&lt;/strong&gt;&lt;br&gt;Jahr: 2002&lt;br&gt;Filmmusik&lt;br&gt;Rolle: Komponent&lt;br&gt;Typ: Kinofilm&lt;br&gt;&lt;a href='https://www.imdb.com/title/tt0456156/?ref_=nm_flmg_com_114'&gt;Link&lt;/a&gt;&lt;/td&gt;&lt;/tr&gt;</v>
      </c>
    </row>
    <row r="116" spans="1:9" x14ac:dyDescent="0.25">
      <c r="A116" t="s">
        <v>868</v>
      </c>
      <c r="B116" t="s">
        <v>1</v>
      </c>
      <c r="C116" t="s">
        <v>0</v>
      </c>
      <c r="D116" t="s">
        <v>290</v>
      </c>
      <c r="E116" t="s">
        <v>717</v>
      </c>
      <c r="F116" t="s">
        <v>720</v>
      </c>
      <c r="G116" t="s">
        <v>119</v>
      </c>
      <c r="H116" t="str">
        <f t="shared" si="3"/>
        <v>tt0341621</v>
      </c>
      <c r="I116" t="str">
        <f t="shared" si="2"/>
        <v>&lt;tr class='rowfilm'&gt;&lt;td class='film'&gt;&lt;img src=' https://m.media-amazon.com/images/G/01/imdb/images/nopicture/140x209/film-4001654135._CB466678728_.png'&gt;&lt;/td&gt;&lt;td class='beschreibung'&gt;&lt;strong&gt;Tous les chagrins se ressemblent&lt;/strong&gt;&lt;br&gt;Jahr: 2002&lt;br&gt;Filmmusik&lt;br&gt;Rolle: Komponent&lt;br&gt;Typ: Fernsehfilm&lt;br&gt;&lt;a href='https://www.imdb.com/title/tt0341621/?ref_=nm_flmg_com_115'&gt;Link&lt;/a&gt;&lt;/td&gt;&lt;/tr&gt;</v>
      </c>
    </row>
    <row r="117" spans="1:9" x14ac:dyDescent="0.25">
      <c r="A117" t="s">
        <v>868</v>
      </c>
      <c r="B117" t="s">
        <v>1</v>
      </c>
      <c r="C117" t="s">
        <v>0</v>
      </c>
      <c r="D117" t="s">
        <v>290</v>
      </c>
      <c r="E117" t="s">
        <v>717</v>
      </c>
      <c r="F117" t="s">
        <v>721</v>
      </c>
      <c r="G117" t="s">
        <v>120</v>
      </c>
      <c r="H117" t="str">
        <f t="shared" si="3"/>
        <v>tt0345774</v>
      </c>
      <c r="I117" t="str">
        <f t="shared" si="2"/>
        <v>&lt;tr class='rowfilm'&gt;&lt;td class='film'&gt;&lt;img src=' https://m.media-amazon.com/images/G/01/imdb/images/nopicture/140x209/film-4001654135._CB466678728_.png'&gt;&lt;/td&gt;&lt;td class='beschreibung'&gt;&lt;strong&gt;Passage du bac&lt;/strong&gt;&lt;br&gt;Jahr: 2002&lt;br&gt;Filmmusik&lt;br&gt;Rolle: Komponent&lt;br&gt;Typ: Fernsehfilm&lt;br&gt;&lt;a href='https://www.imdb.com/title/tt0345774/?ref_=nm_flmg_com_116'&gt;Link&lt;/a&gt;&lt;/td&gt;&lt;/tr&gt;</v>
      </c>
    </row>
    <row r="118" spans="1:9" x14ac:dyDescent="0.25">
      <c r="A118" t="s">
        <v>965</v>
      </c>
      <c r="B118" t="s">
        <v>1</v>
      </c>
      <c r="C118" t="s">
        <v>0</v>
      </c>
      <c r="D118" t="s">
        <v>290</v>
      </c>
      <c r="E118" t="s">
        <v>717</v>
      </c>
      <c r="F118" t="s">
        <v>722</v>
      </c>
      <c r="G118" t="s">
        <v>121</v>
      </c>
      <c r="H118" t="str">
        <f t="shared" si="3"/>
        <v>tt0329710</v>
      </c>
      <c r="I118" t="str">
        <f t="shared" si="2"/>
        <v>&lt;tr class='rowfilm'&gt;&lt;td class='film'&gt;&lt;img src=' https://m.media-amazon.com/images/M/MV5BMTNjZTE3NGQtZWNlZC00MzgzLWFmZjgtM2JhZDUyYzhkZTJkXkEyXkFqcGdeQXVyMTcyODU1Mg@@._V1_UY209_CR2,0,140,209_AL_.jpg'&gt;&lt;/td&gt;&lt;td class='beschreibung'&gt;&lt;strong&gt;Une autre femme&lt;/strong&gt;&lt;br&gt;Jahr: 2002&lt;br&gt;Filmmusik&lt;br&gt;Rolle: Komponent&lt;br&gt;Typ: Fernsehfilm&lt;br&gt;&lt;a href='https://www.imdb.com/title/tt0329710/?ref_=nm_flmg_com_117'&gt;Link&lt;/a&gt;&lt;/td&gt;&lt;/tr&gt;</v>
      </c>
    </row>
    <row r="119" spans="1:9" x14ac:dyDescent="0.25">
      <c r="A119" t="s">
        <v>964</v>
      </c>
      <c r="B119" t="s">
        <v>1</v>
      </c>
      <c r="C119" t="s">
        <v>0</v>
      </c>
      <c r="D119" t="s">
        <v>290</v>
      </c>
      <c r="E119" t="s">
        <v>743</v>
      </c>
      <c r="F119" t="s">
        <v>291</v>
      </c>
      <c r="G119" t="s">
        <v>122</v>
      </c>
      <c r="H119" t="str">
        <f t="shared" si="3"/>
        <v>tt0280990</v>
      </c>
      <c r="I119" t="str">
        <f t="shared" si="2"/>
        <v>&lt;tr class='rowfilm'&gt;&lt;td class='film'&gt;&lt;img src=' https://m.media-amazon.com/images/M/MV5BMmI4M2U5ZmMtZmQ1OS00MDNhLWJjY2UtNzIwNjZkZDRjMTFlXkEyXkFqcGdeQXVyNzgzODI1OTE@._V1_UY209_CR8,0,140,209_AL_.jpg'&gt;&lt;/td&gt;&lt;td class='beschreibung'&gt;&lt;strong&gt;Das tödliche Wespennest&lt;/strong&gt;&lt;br&gt;Jahr: 2002&lt;br&gt;Filmmusik&lt;br&gt;Rolle: Komponent&lt;br&gt;Typ: Kinofilm&lt;br&gt;&lt;a href='https://www.imdb.com/title/tt0280990/?ref_=nm_flmg_com_118'&gt;Link&lt;/a&gt;&lt;/td&gt;&lt;/tr&gt;</v>
      </c>
    </row>
    <row r="120" spans="1:9" x14ac:dyDescent="0.25">
      <c r="A120" t="s">
        <v>966</v>
      </c>
      <c r="B120" t="s">
        <v>1</v>
      </c>
      <c r="C120" t="s">
        <v>0</v>
      </c>
      <c r="D120" t="s">
        <v>290</v>
      </c>
      <c r="E120" t="s">
        <v>717</v>
      </c>
      <c r="F120" t="s">
        <v>723</v>
      </c>
      <c r="G120" t="s">
        <v>123</v>
      </c>
      <c r="H120" t="str">
        <f t="shared" si="3"/>
        <v>tt0309825</v>
      </c>
      <c r="I120" t="str">
        <f t="shared" si="2"/>
        <v>&lt;tr class='rowfilm'&gt;&lt;td class='film'&gt;&lt;img src=' https://m.media-amazon.com/images/M/MV5BMTMzMzU1MjUzMV5BMl5BanBnXkFtZTcwOTc5OTMzMw@@._V1_UY209_CR2,0,140,209_AL_.jpg'&gt;&lt;/td&gt;&lt;td class='beschreibung'&gt;&lt;strong&gt;Madame Sans-Gêne&lt;/strong&gt;&lt;br&gt;Jahr: 2002&lt;br&gt;Filmmusik&lt;br&gt;Rolle: Komponent&lt;br&gt;Typ: Fernsehfilm&lt;br&gt;&lt;a href='https://www.imdb.com/title/tt0309825/?ref_=nm_flmg_com_119'&gt;Link&lt;/a&gt;&lt;/td&gt;&lt;/tr&gt;</v>
      </c>
    </row>
    <row r="121" spans="1:9" x14ac:dyDescent="0.25">
      <c r="A121" t="s">
        <v>868</v>
      </c>
      <c r="B121" t="s">
        <v>1</v>
      </c>
      <c r="C121" t="s">
        <v>0</v>
      </c>
      <c r="D121" t="s">
        <v>292</v>
      </c>
      <c r="E121" t="s">
        <v>717</v>
      </c>
      <c r="F121" t="s">
        <v>724</v>
      </c>
      <c r="G121" t="s">
        <v>124</v>
      </c>
      <c r="H121" t="str">
        <f t="shared" si="3"/>
        <v>tt0348903</v>
      </c>
      <c r="I121" t="str">
        <f t="shared" si="2"/>
        <v>&lt;tr class='rowfilm'&gt;&lt;td class='film'&gt;&lt;img src=' https://m.media-amazon.com/images/G/01/imdb/images/nopicture/140x209/film-4001654135._CB466678728_.png'&gt;&lt;/td&gt;&lt;td class='beschreibung'&gt;&lt;strong&gt;Campagnes&lt;/strong&gt;&lt;br&gt;Jahr: 2001&lt;br&gt;Filmmusik&lt;br&gt;Rolle: Komponent&lt;br&gt;Typ: Fernsehfilm&lt;br&gt;&lt;a href='https://www.imdb.com/title/tt0348903/?ref_=nm_flmg_com_120'&gt;Link&lt;/a&gt;&lt;/td&gt;&lt;/tr&gt;</v>
      </c>
    </row>
    <row r="122" spans="1:9" x14ac:dyDescent="0.25">
      <c r="A122" t="s">
        <v>973</v>
      </c>
      <c r="B122" t="s">
        <v>1</v>
      </c>
      <c r="C122" t="s">
        <v>0</v>
      </c>
      <c r="D122" t="s">
        <v>292</v>
      </c>
      <c r="E122" t="s">
        <v>743</v>
      </c>
      <c r="F122" t="s">
        <v>293</v>
      </c>
      <c r="G122" t="s">
        <v>125</v>
      </c>
      <c r="H122" t="str">
        <f t="shared" si="3"/>
        <v>tt0269771</v>
      </c>
      <c r="I122" t="str">
        <f t="shared" si="2"/>
        <v>&lt;tr class='rowfilm'&gt;&lt;td class='film'&gt;&lt;img src=' https://m.media-amazon.com/images/M/MV5BYmZkMmI2YjUtYjcwNC00N2FkLTg0ZWYtN2EyNTAyNjUzZjczXkEyXkFqcGdeQXVyMjgyNjk3MzE@._V1_UY209_CR8,0,140,209_AL_.jpg'&gt;&lt;/td&gt;&lt;td class='beschreibung'&gt;&lt;strong&gt;Reines d'un jour&lt;/strong&gt;&lt;br&gt;Jahr: 2001&lt;br&gt;Filmmusik&lt;br&gt;Rolle: Komponent&lt;br&gt;Typ: Kinofilm&lt;br&gt;&lt;a href='https://www.imdb.com/title/tt0269771/?ref_=nm_flmg_com_121'&gt;Link&lt;/a&gt;&lt;/td&gt;&lt;/tr&gt;</v>
      </c>
    </row>
    <row r="123" spans="1:9" x14ac:dyDescent="0.25">
      <c r="A123" t="s">
        <v>968</v>
      </c>
      <c r="B123" t="s">
        <v>1</v>
      </c>
      <c r="C123" t="s">
        <v>0</v>
      </c>
      <c r="D123" t="s">
        <v>292</v>
      </c>
      <c r="E123" t="s">
        <v>743</v>
      </c>
      <c r="F123" t="s">
        <v>294</v>
      </c>
      <c r="G123" t="s">
        <v>126</v>
      </c>
      <c r="H123" t="str">
        <f t="shared" si="3"/>
        <v>tt0274117</v>
      </c>
      <c r="I123" t="str">
        <f t="shared" si="2"/>
        <v>&lt;tr class='rowfilm'&gt;&lt;td class='film'&gt;&lt;img src=' https://m.media-amazon.com/images/M/MV5BNjYxNTA5NWUtY2FjNC00YTAzLWEwNDYtZGY2Y2E2NjNkZTY5XkEyXkFqcGdeQXVyMTA0MjU0Ng@@._V1_UY209_CR2,0,140,209_AL_.jpg'&gt;&lt;/td&gt;&lt;td class='beschreibung'&gt;&lt;strong&gt;Tödliche Bekenntnisse&lt;/strong&gt;&lt;br&gt;Jahr: 2001&lt;br&gt;Filmmusik&lt;br&gt;Rolle: Komponent&lt;br&gt;Typ: Kinofilm&lt;br&gt;&lt;a href='https://www.imdb.com/title/tt0274117/?ref_=nm_flmg_com_122'&gt;Link&lt;/a&gt;&lt;/td&gt;&lt;/tr&gt;</v>
      </c>
    </row>
    <row r="124" spans="1:9" x14ac:dyDescent="0.25">
      <c r="A124" t="s">
        <v>969</v>
      </c>
      <c r="B124" t="s">
        <v>1</v>
      </c>
      <c r="C124" t="s">
        <v>0</v>
      </c>
      <c r="D124" t="s">
        <v>292</v>
      </c>
      <c r="E124" t="s">
        <v>743</v>
      </c>
      <c r="F124" t="s">
        <v>295</v>
      </c>
      <c r="G124" t="s">
        <v>127</v>
      </c>
      <c r="H124" t="str">
        <f t="shared" si="3"/>
        <v>tt0284573</v>
      </c>
      <c r="I124" t="str">
        <f t="shared" si="2"/>
        <v>&lt;tr class='rowfilm'&gt;&lt;td class='film'&gt;&lt;img src=' https://m.media-amazon.com/images/M/MV5BMTQwMzcxMjk3MV5BMl5BanBnXkFtZTYwODI5MDM5._V1_UX140_CR0,0,140,209_AL_.jpg'&gt;&lt;/td&gt;&lt;td class='beschreibung'&gt;&lt;strong&gt;Mauvais genres&lt;/strong&gt;&lt;br&gt;Jahr: 2001&lt;br&gt;Filmmusik&lt;br&gt;Rolle: Komponent&lt;br&gt;Typ: Kinofilm&lt;br&gt;&lt;a href='https://www.imdb.com/title/tt0284573/?ref_=nm_flmg_com_123'&gt;Link&lt;/a&gt;&lt;/td&gt;&lt;/tr&gt;</v>
      </c>
    </row>
    <row r="125" spans="1:9" x14ac:dyDescent="0.25">
      <c r="A125" t="s">
        <v>970</v>
      </c>
      <c r="B125" t="s">
        <v>1</v>
      </c>
      <c r="C125" t="s">
        <v>0</v>
      </c>
      <c r="D125" t="s">
        <v>292</v>
      </c>
      <c r="E125" t="s">
        <v>743</v>
      </c>
      <c r="F125" t="s">
        <v>296</v>
      </c>
      <c r="G125" t="s">
        <v>128</v>
      </c>
      <c r="H125" t="str">
        <f t="shared" si="3"/>
        <v>tt0246158</v>
      </c>
      <c r="I125" t="str">
        <f t="shared" si="2"/>
        <v>&lt;tr class='rowfilm'&gt;&lt;td class='film'&gt;&lt;img src=' https://m.media-amazon.com/images/M/MV5BZTM4ZWZiNzYtYWFjNS00OGFiLWFiMmMtZWI3NWY0ZmEzZGZkXkEyXkFqcGdeQXVyNjExODE1MDc@._V1_UY209_CR3,0,140,209_AL_.jpg'&gt;&lt;/td&gt;&lt;td class='beschreibung'&gt;&lt;strong&gt;Les portes de la gloire&lt;/strong&gt;&lt;br&gt;Jahr: 2001&lt;br&gt;Filmmusik&lt;br&gt;Rolle: Komponent&lt;br&gt;Typ: Kinofilm&lt;br&gt;&lt;a href='https://www.imdb.com/title/tt0246158/?ref_=nm_flmg_com_124'&gt;Link&lt;/a&gt;&lt;/td&gt;&lt;/tr&gt;</v>
      </c>
    </row>
    <row r="126" spans="1:9" x14ac:dyDescent="0.25">
      <c r="A126" t="s">
        <v>975</v>
      </c>
      <c r="B126" t="s">
        <v>1</v>
      </c>
      <c r="C126" t="s">
        <v>0</v>
      </c>
      <c r="D126" t="s">
        <v>292</v>
      </c>
      <c r="E126" t="s">
        <v>701</v>
      </c>
      <c r="F126" t="s">
        <v>706</v>
      </c>
      <c r="G126" t="s">
        <v>129</v>
      </c>
      <c r="H126" t="str">
        <f t="shared" si="3"/>
        <v>tt0254385</v>
      </c>
      <c r="I126" t="str">
        <f t="shared" si="2"/>
        <v>&lt;tr class='rowfilm'&gt;&lt;td class='film'&gt;&lt;img src=' https://m.media-amazon.com/images/M/MV5BOTgyMGNjOTgtYjYxOC00MzFjLTk1NDMtNmNiZjIzMjMwZGU3XkEyXkFqcGdeQXVyMjI1MDg0ODg@._V1_UY209_CR83,0,140,209_AL_.jpg'&gt;&lt;/td&gt;&lt;td class='beschreibung'&gt;&lt;strong&gt;Home Sweet Home&lt;/strong&gt;&lt;br&gt;Jahr: 2001&lt;br&gt;Filmmusik&lt;br&gt;Rolle: Komponent&lt;br&gt;Typ: Dokumentarfilm&lt;br&gt;&lt;a href='https://www.imdb.com/title/tt0254385/?ref_=nm_flmg_com_125'&gt;Link&lt;/a&gt;&lt;/td&gt;&lt;/tr&gt;</v>
      </c>
    </row>
    <row r="127" spans="1:9" x14ac:dyDescent="0.25">
      <c r="A127" t="s">
        <v>971</v>
      </c>
      <c r="B127" t="s">
        <v>1</v>
      </c>
      <c r="C127" t="s">
        <v>0</v>
      </c>
      <c r="D127" t="s">
        <v>292</v>
      </c>
      <c r="E127" t="s">
        <v>743</v>
      </c>
      <c r="F127" t="s">
        <v>297</v>
      </c>
      <c r="G127" t="s">
        <v>130</v>
      </c>
      <c r="H127" t="str">
        <f t="shared" si="3"/>
        <v>tt0267044</v>
      </c>
      <c r="I127" t="str">
        <f t="shared" si="2"/>
        <v>&lt;tr class='rowfilm'&gt;&lt;td class='film'&gt;&lt;img src=' https://m.media-amazon.com/images/M/MV5BMTYzMDM0Njk5OF5BMl5BanBnXkFtZTcwNTkwNjAyMQ@@._V1_UY209_CR4,0,140,209_AL_.jpg'&gt;&lt;/td&gt;&lt;td class='beschreibung'&gt;&lt;strong&gt;Barnie et ses petites contrariétés&lt;/strong&gt;&lt;br&gt;Jahr: 2001&lt;br&gt;Filmmusik&lt;br&gt;Rolle: Komponent&lt;br&gt;Typ: Kinofilm&lt;br&gt;&lt;a href='https://www.imdb.com/title/tt0267044/?ref_=nm_flmg_com_126'&gt;Link&lt;/a&gt;&lt;/td&gt;&lt;/tr&gt;</v>
      </c>
    </row>
    <row r="128" spans="1:9" x14ac:dyDescent="0.25">
      <c r="A128" t="s">
        <v>978</v>
      </c>
      <c r="B128" t="s">
        <v>1</v>
      </c>
      <c r="C128" t="s">
        <v>0</v>
      </c>
      <c r="D128" t="s">
        <v>298</v>
      </c>
      <c r="E128" t="s">
        <v>717</v>
      </c>
      <c r="F128" t="s">
        <v>725</v>
      </c>
      <c r="G128" t="s">
        <v>131</v>
      </c>
      <c r="H128" t="str">
        <f t="shared" si="3"/>
        <v>tt0197826</v>
      </c>
      <c r="I128" t="str">
        <f t="shared" si="2"/>
        <v>&lt;tr class='rowfilm'&gt;&lt;td class='film'&gt;&lt;img src=' https://m.media-amazon.com/images/M/MV5BY2MwYzQ0NTAtOTYxYy00MjhhLTk2NzEtOWMyMWRlNmI0OTkxXkEyXkFqcGdeQXVyMTQ3Njg3MQ@@._V1_UY209_CR3,0,140,209_AL_.jpg'&gt;&lt;/td&gt;&lt;td class='beschreibung'&gt;&lt;strong&gt;Der Traum der Rinaldis&lt;/strong&gt;&lt;br&gt;Jahr: 2000&lt;br&gt;Filmmusik&lt;br&gt;Rolle: Komponent&lt;br&gt;Typ: Fernsehfilm&lt;br&gt;&lt;a href='https://www.imdb.com/title/tt0197826/?ref_=nm_flmg_com_127'&gt;Link&lt;/a&gt;&lt;/td&gt;&lt;/tr&gt;</v>
      </c>
    </row>
    <row r="129" spans="1:9" x14ac:dyDescent="0.25">
      <c r="A129" t="s">
        <v>976</v>
      </c>
      <c r="B129" t="s">
        <v>1</v>
      </c>
      <c r="C129" t="s">
        <v>0</v>
      </c>
      <c r="D129" t="s">
        <v>298</v>
      </c>
      <c r="E129" t="s">
        <v>743</v>
      </c>
      <c r="F129" t="s">
        <v>742</v>
      </c>
      <c r="G129" t="s">
        <v>132</v>
      </c>
      <c r="H129" t="str">
        <f t="shared" si="3"/>
        <v>tt0211492</v>
      </c>
      <c r="I129" t="str">
        <f t="shared" si="2"/>
        <v>&lt;tr class='rowfilm'&gt;&lt;td class='film'&gt;&lt;img src=' https://m.media-amazon.com/images/M/MV5BMjRhYTQwZmQtMDFmOS00NmI4LWEwNzgtMjk5YzdjYTg0NmM0XkEyXkFqcGdeQXVyNzQ5MzY0NjM@._V1_UX140_CR0,0,140,209_AL_.jpg'&gt;&lt;/td&gt;&lt;td class='beschreibung'&gt;&lt;strong&gt;Lushins Verteidigung&lt;/strong&gt;&lt;br&gt;Jahr: 2000&lt;br&gt;Filmmusik&lt;br&gt;Rolle: Komponent&lt;br&gt;Typ: Kinofilm&lt;br&gt;&lt;a href='https://www.imdb.com/title/tt0211492/?ref_=nm_flmg_com_128'&gt;Link&lt;/a&gt;&lt;/td&gt;&lt;/tr&gt;</v>
      </c>
    </row>
    <row r="130" spans="1:9" x14ac:dyDescent="0.25">
      <c r="A130" t="s">
        <v>977</v>
      </c>
      <c r="B130" t="s">
        <v>1</v>
      </c>
      <c r="C130" t="s">
        <v>0</v>
      </c>
      <c r="D130" t="s">
        <v>298</v>
      </c>
      <c r="E130" t="s">
        <v>743</v>
      </c>
      <c r="F130" t="s">
        <v>299</v>
      </c>
      <c r="G130" t="s">
        <v>133</v>
      </c>
      <c r="H130" t="str">
        <f t="shared" si="3"/>
        <v>tt0216890</v>
      </c>
      <c r="I130" t="str">
        <f t="shared" si="2"/>
        <v>&lt;tr class='rowfilm'&gt;&lt;td class='film'&gt;&lt;img src=' https://m.media-amazon.com/images/M/MV5BMWVmMjc5YWItMDA1ZS00MTYxLTg0OGUtMWEyZmRkYjNiYzY3XkEyXkFqcGdeQXVyMjQzMzQzODY@._V1_UY209_CR8,0,140,209_AL_.jpg'&gt;&lt;/td&gt;&lt;td class='beschreibung'&gt;&lt;strong&gt;Amazone&lt;/strong&gt;&lt;br&gt;Jahr: 2000&lt;br&gt;Filmmusik&lt;br&gt;Rolle: Komponent&lt;br&gt;Typ: Kinofilm&lt;br&gt;&lt;a href='https://www.imdb.com/title/tt0216890/?ref_=nm_flmg_com_129'&gt;Link&lt;/a&gt;&lt;/td&gt;&lt;/tr&gt;</v>
      </c>
    </row>
    <row r="131" spans="1:9" x14ac:dyDescent="0.25">
      <c r="A131" t="s">
        <v>979</v>
      </c>
      <c r="B131" t="s">
        <v>1</v>
      </c>
      <c r="C131" t="s">
        <v>0</v>
      </c>
      <c r="D131" t="s">
        <v>298</v>
      </c>
      <c r="E131" t="s">
        <v>743</v>
      </c>
      <c r="F131" t="s">
        <v>300</v>
      </c>
      <c r="G131" t="s">
        <v>134</v>
      </c>
      <c r="H131" t="str">
        <f t="shared" si="3"/>
        <v>tt0229022</v>
      </c>
      <c r="I131" t="str">
        <f t="shared" ref="I131:I189" si="4">+"&lt;tr class='rowfilm'&gt;&lt;td class='film'&gt;&lt;img src='" &amp; A131 &amp;"'&gt;&lt;/td&gt;&lt;td class='beschreibung'&gt;&lt;strong&gt;"  &amp; F131  &amp;"&lt;/strong&gt;&lt;br&gt;Jahr: "&amp; D131 &amp; "&lt;br&gt;" &amp; B131 &amp;"&lt;br&gt;Rolle: " &amp; C131 &amp; "&lt;br&gt;Typ: " &amp; E131 &amp; "&lt;br&gt;" &amp; "&lt;a href='" &amp; G131 &amp;"'&gt;Link&lt;/a&gt;&lt;/td&gt;&lt;/tr&gt;"</f>
        <v>&lt;tr class='rowfilm'&gt;&lt;td class='film'&gt;&lt;img src=' https://m.media-amazon.com/images/M/MV5BZjNhODE0ZWYtODc0Ni00MzlkLTljM2QtZmRjYWZjNDUxOGVmXkEyXkFqcGdeQXVyMTQ3Njg3MQ@@._V1_UY209_CR6,0,140,209_AL_.jpg'&gt;&lt;/td&gt;&lt;td class='beschreibung'&gt;&lt;strong&gt;Vive nous!&lt;/strong&gt;&lt;br&gt;Jahr: 2000&lt;br&gt;Filmmusik&lt;br&gt;Rolle: Komponent&lt;br&gt;Typ: Kinofilm&lt;br&gt;&lt;a href='https://www.imdb.com/title/tt0229022/?ref_=nm_flmg_com_130'&gt;Link&lt;/a&gt;&lt;/td&gt;&lt;/tr&gt;</v>
      </c>
    </row>
    <row r="132" spans="1:9" x14ac:dyDescent="0.25">
      <c r="A132" t="s">
        <v>868</v>
      </c>
      <c r="B132" t="s">
        <v>1</v>
      </c>
      <c r="C132" t="s">
        <v>0</v>
      </c>
      <c r="D132" t="s">
        <v>301</v>
      </c>
      <c r="E132" t="s">
        <v>717</v>
      </c>
      <c r="F132" t="s">
        <v>726</v>
      </c>
      <c r="G132" t="s">
        <v>135</v>
      </c>
      <c r="H132" t="str">
        <f t="shared" ref="H132:H189" si="5">+MID(G132,28,9)</f>
        <v>tt0393515</v>
      </c>
      <c r="I132" t="str">
        <f t="shared" si="4"/>
        <v>&lt;tr class='rowfilm'&gt;&lt;td class='film'&gt;&lt;img src=' https://m.media-amazon.com/images/G/01/imdb/images/nopicture/140x209/film-4001654135._CB466678728_.png'&gt;&lt;/td&gt;&lt;td class='beschreibung'&gt;&lt;strong&gt;N'oublie pas que tu m'aimes&lt;/strong&gt;&lt;br&gt;Jahr: 1999&lt;br&gt;Filmmusik&lt;br&gt;Rolle: Komponent&lt;br&gt;Typ: Fernsehfilm&lt;br&gt;&lt;a href='https://www.imdb.com/title/tt0393515/?ref_=nm_flmg_com_131'&gt;Link&lt;/a&gt;&lt;/td&gt;&lt;/tr&gt;</v>
      </c>
    </row>
    <row r="133" spans="1:9" x14ac:dyDescent="0.25">
      <c r="A133" t="s">
        <v>1000</v>
      </c>
      <c r="B133" t="s">
        <v>1</v>
      </c>
      <c r="C133" t="s">
        <v>0</v>
      </c>
      <c r="D133" t="s">
        <v>302</v>
      </c>
      <c r="E133" t="s">
        <v>667</v>
      </c>
      <c r="F133" t="s">
        <v>672</v>
      </c>
      <c r="G133" t="s">
        <v>136</v>
      </c>
      <c r="H133" t="str">
        <f t="shared" si="5"/>
        <v>tt3805856</v>
      </c>
      <c r="I133" t="str">
        <f t="shared" si="4"/>
        <v>&lt;tr class='rowfilm'&gt;&lt;td class='film'&gt;&lt;img src=' https://m.media-amazon.com/images/M/MV5BMWE3YzFhZTAtOTNiMi00ODlhLTgyN2EtNzE2ZWZjYTBhN2Q5XkEyXkFqcGdeQXVyNzI4MDMyMTU@._V1_UY209_CR1,0,140,209_AL_.jpg'&gt;&lt;/td&gt;&lt;td class='beschreibung'&gt;&lt;strong&gt;L'histoire du samedi&lt;/strong&gt;&lt;br&gt;Jahr: 1996&lt;br&gt;Filmmusik&lt;br&gt;Rolle: Komponent&lt;br&gt;Typ: TV Serie&lt;br&gt;&lt;a href='https://www.imdb.com/title/tt3805856/?ref_=nm_flmg_com_132'&gt;Link&lt;/a&gt;&lt;/td&gt;&lt;/tr&gt;</v>
      </c>
    </row>
    <row r="134" spans="1:9" x14ac:dyDescent="0.25">
      <c r="A134" t="s">
        <v>981</v>
      </c>
      <c r="B134" t="s">
        <v>1</v>
      </c>
      <c r="C134" t="s">
        <v>0</v>
      </c>
      <c r="D134" t="s">
        <v>301</v>
      </c>
      <c r="E134" t="s">
        <v>743</v>
      </c>
      <c r="F134" t="s">
        <v>303</v>
      </c>
      <c r="G134" t="s">
        <v>137</v>
      </c>
      <c r="H134" t="str">
        <f t="shared" si="5"/>
        <v>tt0209280</v>
      </c>
      <c r="I134" t="str">
        <f t="shared" si="4"/>
        <v>&lt;tr class='rowfilm'&gt;&lt;td class='film'&gt;&lt;img src=' https://m.media-amazon.com/images/M/MV5BMTY2MTk2MTYwOV5BMl5BanBnXkFtZTcwMjk0NzUxMQ@@._V1_UY209_CR4,0,140,209_AL_.jpg'&gt;&lt;/td&gt;&lt;td class='beschreibung'&gt;&lt;strong&gt;Liebe in Zeiten der Arbeitslosigkeit&lt;/strong&gt;&lt;br&gt;Jahr: 1999&lt;br&gt;Filmmusik&lt;br&gt;Rolle: Komponent&lt;br&gt;Typ: Kinofilm&lt;br&gt;&lt;a href='https://www.imdb.com/title/tt0209280/?ref_=nm_flmg_com_133'&gt;Link&lt;/a&gt;&lt;/td&gt;&lt;/tr&gt;</v>
      </c>
    </row>
    <row r="135" spans="1:9" x14ac:dyDescent="0.25">
      <c r="A135" t="s">
        <v>984</v>
      </c>
      <c r="B135" t="s">
        <v>1</v>
      </c>
      <c r="C135" t="s">
        <v>0</v>
      </c>
      <c r="D135" t="s">
        <v>301</v>
      </c>
      <c r="E135" t="s">
        <v>743</v>
      </c>
      <c r="F135" t="s">
        <v>304</v>
      </c>
      <c r="G135" t="s">
        <v>138</v>
      </c>
      <c r="H135" t="str">
        <f t="shared" si="5"/>
        <v>tt0205269</v>
      </c>
      <c r="I135" t="str">
        <f t="shared" si="4"/>
        <v>&lt;tr class='rowfilm'&gt;&lt;td class='film'&gt;&lt;img src=' https://m.media-amazon.com/images/M/MV5BMWI0ODA1NGUtMWUyZC00YjFkLWFhNWItNmU3ZTNiZjA3ZjQ4XkEyXkFqcGdeQXVyMjQzMzQzODY@._V1_UY209_CR7,0,140,209_AL_.jpg'&gt;&lt;/td&gt;&lt;td class='beschreibung'&gt;&lt;strong&gt;Monsieur Naphtali&lt;/strong&gt;&lt;br&gt;Jahr: 1999&lt;br&gt;Filmmusik&lt;br&gt;Rolle: Komponent&lt;br&gt;Typ: Kinofilm&lt;br&gt;&lt;a href='https://www.imdb.com/title/tt0205269/?ref_=nm_flmg_com_134'&gt;Link&lt;/a&gt;&lt;/td&gt;&lt;/tr&gt;</v>
      </c>
    </row>
    <row r="136" spans="1:9" x14ac:dyDescent="0.25">
      <c r="A136" t="s">
        <v>868</v>
      </c>
      <c r="B136" t="s">
        <v>1</v>
      </c>
      <c r="C136" t="s">
        <v>0</v>
      </c>
      <c r="D136" t="s">
        <v>301</v>
      </c>
      <c r="E136" t="s">
        <v>717</v>
      </c>
      <c r="F136" t="s">
        <v>727</v>
      </c>
      <c r="G136" t="s">
        <v>139</v>
      </c>
      <c r="H136" t="str">
        <f t="shared" si="5"/>
        <v>tt0184128</v>
      </c>
      <c r="I136" t="str">
        <f t="shared" si="4"/>
        <v>&lt;tr class='rowfilm'&gt;&lt;td class='film'&gt;&lt;img src=' https://m.media-amazon.com/images/G/01/imdb/images/nopicture/140x209/film-4001654135._CB466678728_.png'&gt;&lt;/td&gt;&lt;td class='beschreibung'&gt;&lt;strong&gt;Juliette&lt;/strong&gt;&lt;br&gt;Jahr: 1999&lt;br&gt;Filmmusik&lt;br&gt;Rolle: Komponent&lt;br&gt;Typ: Fernsehfilm&lt;br&gt;&lt;a href='https://www.imdb.com/title/tt0184128/?ref_=nm_flmg_com_135'&gt;Link&lt;/a&gt;&lt;/td&gt;&lt;/tr&gt;</v>
      </c>
    </row>
    <row r="137" spans="1:9" x14ac:dyDescent="0.25">
      <c r="A137" t="s">
        <v>868</v>
      </c>
      <c r="B137" t="s">
        <v>1</v>
      </c>
      <c r="C137" t="s">
        <v>0</v>
      </c>
      <c r="D137" t="s">
        <v>301</v>
      </c>
      <c r="E137" t="s">
        <v>667</v>
      </c>
      <c r="F137" t="s">
        <v>673</v>
      </c>
      <c r="G137" t="s">
        <v>140</v>
      </c>
      <c r="H137" t="str">
        <f t="shared" si="5"/>
        <v>tt0184099</v>
      </c>
      <c r="I137" t="str">
        <f t="shared" si="4"/>
        <v>&lt;tr class='rowfilm'&gt;&lt;td class='film'&gt;&lt;img src=' https://m.media-amazon.com/images/G/01/imdb/images/nopicture/140x209/film-4001654135._CB466678728_.png'&gt;&lt;/td&gt;&lt;td class='beschreibung'&gt;&lt;strong&gt;Brigade spéciale&lt;/strong&gt;&lt;br&gt;Jahr: 1999&lt;br&gt;Filmmusik&lt;br&gt;Rolle: Komponent&lt;br&gt;Typ: TV Serie&lt;br&gt;&lt;a href='https://www.imdb.com/title/tt0184099/?ref_=nm_flmg_com_136'&gt;Link&lt;/a&gt;&lt;/td&gt;&lt;/tr&gt;</v>
      </c>
    </row>
    <row r="138" spans="1:9" x14ac:dyDescent="0.25">
      <c r="A138" t="s">
        <v>980</v>
      </c>
      <c r="B138" t="s">
        <v>1</v>
      </c>
      <c r="C138" t="s">
        <v>0</v>
      </c>
      <c r="D138" t="s">
        <v>301</v>
      </c>
      <c r="E138" t="s">
        <v>743</v>
      </c>
      <c r="F138" t="s">
        <v>305</v>
      </c>
      <c r="G138" t="s">
        <v>141</v>
      </c>
      <c r="H138" t="str">
        <f t="shared" si="5"/>
        <v>tt0188506</v>
      </c>
      <c r="I138" t="str">
        <f t="shared" si="4"/>
        <v>&lt;tr class='rowfilm'&gt;&lt;td class='film'&gt;&lt;img src=' https://m.media-amazon.com/images/M/MV5BMTIzMDA3NjY5M15BMl5BanBnXkFtZTYwMDAzNzk5._V1_UY209_CR78,0,140,209_AL_.jpg'&gt;&lt;/td&gt;&lt;td class='beschreibung'&gt;&lt;strong&gt;Kwom und der König der Affen&lt;/strong&gt;&lt;br&gt;Jahr: 1999&lt;br&gt;Filmmusik&lt;br&gt;Rolle: Komponent&lt;br&gt;Typ: Kinofilm&lt;br&gt;&lt;a href='https://www.imdb.com/title/tt0188506/?ref_=nm_flmg_com_137'&gt;Link&lt;/a&gt;&lt;/td&gt;&lt;/tr&gt;</v>
      </c>
    </row>
    <row r="139" spans="1:9" x14ac:dyDescent="0.25">
      <c r="A139" t="s">
        <v>983</v>
      </c>
      <c r="B139" t="s">
        <v>1</v>
      </c>
      <c r="C139" t="s">
        <v>0</v>
      </c>
      <c r="D139" t="s">
        <v>301</v>
      </c>
      <c r="E139" t="s">
        <v>743</v>
      </c>
      <c r="F139" t="s">
        <v>306</v>
      </c>
      <c r="G139" t="s">
        <v>142</v>
      </c>
      <c r="H139" t="str">
        <f t="shared" si="5"/>
        <v>tt0196420</v>
      </c>
      <c r="I139" t="str">
        <f t="shared" si="4"/>
        <v>&lt;tr class='rowfilm'&gt;&lt;td class='film'&gt;&lt;img src=' https://m.media-amazon.com/images/M/MV5BNmM4OGRlZTktYTFhZi00NjRkLTgzM2ItZDE5ZWMyNjA3Mjg2XkEyXkFqcGdeQXVyNjU3ODUxMTc@._V1_UY209_CR3,0,140,209_AL_.jpg'&gt;&lt;/td&gt;&lt;td class='beschreibung'&gt;&lt;strong&gt;C'est pas ma faute!&lt;/strong&gt;&lt;br&gt;Jahr: 1999&lt;br&gt;Filmmusik&lt;br&gt;Rolle: Komponent&lt;br&gt;Typ: Kinofilm&lt;br&gt;&lt;a href='https://www.imdb.com/title/tt0196420/?ref_=nm_flmg_com_138'&gt;Link&lt;/a&gt;&lt;/td&gt;&lt;/tr&gt;</v>
      </c>
    </row>
    <row r="140" spans="1:9" x14ac:dyDescent="0.25">
      <c r="A140" t="s">
        <v>868</v>
      </c>
      <c r="B140" t="s">
        <v>1</v>
      </c>
      <c r="C140" t="s">
        <v>0</v>
      </c>
      <c r="D140" t="s">
        <v>301</v>
      </c>
      <c r="E140" t="s">
        <v>717</v>
      </c>
      <c r="F140" t="s">
        <v>728</v>
      </c>
      <c r="G140" t="s">
        <v>143</v>
      </c>
      <c r="H140" t="str">
        <f t="shared" si="5"/>
        <v>tt0176394</v>
      </c>
      <c r="I140" t="str">
        <f t="shared" si="4"/>
        <v>&lt;tr class='rowfilm'&gt;&lt;td class='film'&gt;&lt;img src=' https://m.media-amazon.com/images/G/01/imdb/images/nopicture/140x209/film-4001654135._CB466678728_.png'&gt;&lt;/td&gt;&lt;td class='beschreibung'&gt;&lt;strong&gt;Retour à Fonteyne&lt;/strong&gt;&lt;br&gt;Jahr: 1999&lt;br&gt;Filmmusik&lt;br&gt;Rolle: Komponent&lt;br&gt;Typ: Fernsehfilm&lt;br&gt;&lt;a href='https://www.imdb.com/title/tt0176394/?ref_=nm_flmg_com_139'&gt;Link&lt;/a&gt;&lt;/td&gt;&lt;/tr&gt;</v>
      </c>
    </row>
    <row r="141" spans="1:9" x14ac:dyDescent="0.25">
      <c r="A141" t="s">
        <v>982</v>
      </c>
      <c r="B141" t="s">
        <v>1</v>
      </c>
      <c r="C141" t="s">
        <v>0</v>
      </c>
      <c r="D141" t="s">
        <v>301</v>
      </c>
      <c r="E141" t="s">
        <v>743</v>
      </c>
      <c r="F141" t="s">
        <v>307</v>
      </c>
      <c r="G141" t="s">
        <v>144</v>
      </c>
      <c r="H141" t="str">
        <f t="shared" si="5"/>
        <v>tt0143944</v>
      </c>
      <c r="I141" t="str">
        <f t="shared" si="4"/>
        <v>&lt;tr class='rowfilm'&gt;&lt;td class='film'&gt;&lt;img src=' https://m.media-amazon.com/images/M/MV5BNWEwN2QxMTQtMDkyMy00MTkxLTkxOGQtNzNmZDdmYzVjM2U2XkEyXkFqcGdeQXVyMTQ3Njg3MQ@@._V1_UY209_CR3,0,140,209_AL_.jpg'&gt;&lt;/td&gt;&lt;td class='beschreibung'&gt;&lt;strong&gt;Männer ohne Ehre&lt;/strong&gt;&lt;br&gt;Jahr: 1999&lt;br&gt;Filmmusik&lt;br&gt;Rolle: Komponent&lt;br&gt;Typ: Kinofilm&lt;br&gt;&lt;a href='https://www.imdb.com/title/tt0143944/?ref_=nm_flmg_com_140'&gt;Link&lt;/a&gt;&lt;/td&gt;&lt;/tr&gt;</v>
      </c>
    </row>
    <row r="142" spans="1:9" x14ac:dyDescent="0.25">
      <c r="A142" t="s">
        <v>990</v>
      </c>
      <c r="B142" t="s">
        <v>1</v>
      </c>
      <c r="C142" t="s">
        <v>0</v>
      </c>
      <c r="D142" t="s">
        <v>308</v>
      </c>
      <c r="E142" t="s">
        <v>743</v>
      </c>
      <c r="F142" t="s">
        <v>309</v>
      </c>
      <c r="G142" t="s">
        <v>145</v>
      </c>
      <c r="H142" t="str">
        <f t="shared" si="5"/>
        <v>tt0185166</v>
      </c>
      <c r="I142" t="str">
        <f t="shared" si="4"/>
        <v>&lt;tr class='rowfilm'&gt;&lt;td class='film'&gt;&lt;img src=' https://m.media-amazon.com/images/M/MV5BZTBjMzhiNTgtOTJhOS00YjU0LWIzM2YtZThhMTQ5ZGVjZjNkXkEyXkFqcGdeQXVyMTY5MDE5NA@@._V1_UY209_CR3,0,140,209_AL_.jpg'&gt;&lt;/td&gt;&lt;td class='beschreibung'&gt;&lt;strong&gt;Atilano, presidente&lt;/strong&gt;&lt;br&gt;Jahr: 1998&lt;br&gt;Filmmusik&lt;br&gt;Rolle: Komponent&lt;br&gt;Typ: Kinofilm&lt;br&gt;&lt;a href='https://www.imdb.com/title/tt0185166/?ref_=nm_flmg_com_141'&gt;Link&lt;/a&gt;&lt;/td&gt;&lt;/tr&gt;</v>
      </c>
    </row>
    <row r="143" spans="1:9" x14ac:dyDescent="0.25">
      <c r="A143" t="s">
        <v>988</v>
      </c>
      <c r="B143" t="s">
        <v>1</v>
      </c>
      <c r="C143" t="s">
        <v>0</v>
      </c>
      <c r="D143" t="s">
        <v>308</v>
      </c>
      <c r="E143" t="s">
        <v>743</v>
      </c>
      <c r="F143" t="s">
        <v>310</v>
      </c>
      <c r="G143" t="s">
        <v>146</v>
      </c>
      <c r="H143" t="str">
        <f t="shared" si="5"/>
        <v>tt0169348</v>
      </c>
      <c r="I143" t="str">
        <f t="shared" si="4"/>
        <v>&lt;tr class='rowfilm'&gt;&lt;td class='film'&gt;&lt;img src=' https://m.media-amazon.com/images/M/MV5BMTk5NzY2Nzg2M15BMl5BanBnXkFtZTcwNzQzNzYxMQ@@._V1_UY209_CR4,0,140,209_AL_.jpg'&gt;&lt;/td&gt;&lt;td class='beschreibung'&gt;&lt;strong&gt;Ende der Geduld&lt;/strong&gt;&lt;br&gt;Jahr: 1998&lt;br&gt;Filmmusik&lt;br&gt;Rolle: Komponent&lt;br&gt;Typ: Kinofilm&lt;br&gt;&lt;a href='https://www.imdb.com/title/tt0169348/?ref_=nm_flmg_com_142'&gt;Link&lt;/a&gt;&lt;/td&gt;&lt;/tr&gt;</v>
      </c>
    </row>
    <row r="144" spans="1:9" x14ac:dyDescent="0.25">
      <c r="A144" t="s">
        <v>989</v>
      </c>
      <c r="B144" t="s">
        <v>1</v>
      </c>
      <c r="C144" t="s">
        <v>0</v>
      </c>
      <c r="D144" t="s">
        <v>308</v>
      </c>
      <c r="E144" t="s">
        <v>743</v>
      </c>
      <c r="F144" t="s">
        <v>311</v>
      </c>
      <c r="G144" t="s">
        <v>147</v>
      </c>
      <c r="H144" t="str">
        <f t="shared" si="5"/>
        <v>tt0152178</v>
      </c>
      <c r="I144" t="str">
        <f t="shared" si="4"/>
        <v>&lt;tr class='rowfilm'&gt;&lt;td class='film'&gt;&lt;img src=' https://m.media-amazon.com/images/M/MV5BODM3NjkwMDIyNV5BMl5BanBnXkFtZTcwOTAwMTEyMQ@@._V1_UY209_CR4,0,140,209_AL_.jpg'&gt;&lt;/td&gt;&lt;td class='beschreibung'&gt;&lt;strong&gt;Restons groupés&lt;/strong&gt;&lt;br&gt;Jahr: 1998&lt;br&gt;Filmmusik&lt;br&gt;Rolle: Komponent&lt;br&gt;Typ: Kinofilm&lt;br&gt;&lt;a href='https://www.imdb.com/title/tt0152178/?ref_=nm_flmg_com_143'&gt;Link&lt;/a&gt;&lt;/td&gt;&lt;/tr&gt;</v>
      </c>
    </row>
    <row r="145" spans="1:9" x14ac:dyDescent="0.25">
      <c r="A145" t="s">
        <v>987</v>
      </c>
      <c r="B145" t="s">
        <v>1</v>
      </c>
      <c r="C145" t="s">
        <v>0</v>
      </c>
      <c r="D145" t="s">
        <v>308</v>
      </c>
      <c r="E145" t="s">
        <v>743</v>
      </c>
      <c r="F145" t="s">
        <v>312</v>
      </c>
      <c r="G145" t="s">
        <v>148</v>
      </c>
      <c r="H145" t="str">
        <f t="shared" si="5"/>
        <v>tt0120013</v>
      </c>
      <c r="I145" t="str">
        <f t="shared" si="4"/>
        <v>&lt;tr class='rowfilm'&gt;&lt;td class='film'&gt;&lt;img src=' https://m.media-amazon.com/images/M/MV5BMTQ4MTIwOTM4M15BMl5BanBnXkFtZTcwNDcyMDYyMQ@@._V1_UY209_CR4,0,140,209_AL_.jpg'&gt;&lt;/td&gt;&lt;td class='beschreibung'&gt;&lt;strong&gt;Rache ist süß&lt;/strong&gt;&lt;br&gt;Jahr: 1998&lt;br&gt;Filmmusik&lt;br&gt;Rolle: Komponent&lt;br&gt;Typ: Kinofilm&lt;br&gt;&lt;a href='https://www.imdb.com/title/tt0120013/?ref_=nm_flmg_com_144'&gt;Link&lt;/a&gt;&lt;/td&gt;&lt;/tr&gt;</v>
      </c>
    </row>
    <row r="146" spans="1:9" x14ac:dyDescent="0.25">
      <c r="A146" t="s">
        <v>986</v>
      </c>
      <c r="B146" t="s">
        <v>1</v>
      </c>
      <c r="C146" t="s">
        <v>0</v>
      </c>
      <c r="D146" t="s">
        <v>308</v>
      </c>
      <c r="E146" t="s">
        <v>743</v>
      </c>
      <c r="F146" t="s">
        <v>313</v>
      </c>
      <c r="G146" t="s">
        <v>149</v>
      </c>
      <c r="H146" t="str">
        <f t="shared" si="5"/>
        <v>tt0119247</v>
      </c>
      <c r="I146" t="str">
        <f t="shared" si="4"/>
        <v>&lt;tr class='rowfilm'&gt;&lt;td class='film'&gt;&lt;img src=' https://m.media-amazon.com/images/M/MV5BMTIzODg5NDA2NF5BMl5BanBnXkFtZTYwMDExODA5._V1_UY209_CR2,0,140,209_AL_.jpg'&gt;&lt;/td&gt;&lt;td class='beschreibung'&gt;&lt;strong&gt;Alle meine Väter&lt;/strong&gt;&lt;br&gt;Jahr: 1998&lt;br&gt;Filmmusik&lt;br&gt;Rolle: Komponent&lt;br&gt;Typ: Kinofilm&lt;br&gt;&lt;a href='https://www.imdb.com/title/tt0119247/?ref_=nm_flmg_com_145'&gt;Link&lt;/a&gt;&lt;/td&gt;&lt;/tr&gt;</v>
      </c>
    </row>
    <row r="147" spans="1:9" x14ac:dyDescent="0.25">
      <c r="A147" t="s">
        <v>992</v>
      </c>
      <c r="B147" t="s">
        <v>1</v>
      </c>
      <c r="C147" t="s">
        <v>0</v>
      </c>
      <c r="D147" t="s">
        <v>314</v>
      </c>
      <c r="E147" t="s">
        <v>743</v>
      </c>
      <c r="F147" t="s">
        <v>315</v>
      </c>
      <c r="G147" t="s">
        <v>150</v>
      </c>
      <c r="H147" t="str">
        <f t="shared" si="5"/>
        <v>tt0119112</v>
      </c>
      <c r="I147" t="str">
        <f t="shared" si="4"/>
        <v>&lt;tr class='rowfilm'&gt;&lt;td class='film'&gt;&lt;img src=' https://m.media-amazon.com/images/M/MV5BM2E4MDE5ZjktOGViMi00ODI2LTkwODAtMGYxNDRlNmZiM2E2XkEyXkFqcGdeQXVyMTM2Mzg4MA@@._V1_UY209_CR6,0,140,209_AL_.jpg'&gt;&lt;/td&gt;&lt;td class='beschreibung'&gt;&lt;strong&gt;La femme du cosmonaute&lt;/strong&gt;&lt;br&gt;Jahr: 1997&lt;br&gt;Filmmusik&lt;br&gt;Rolle: Komponent&lt;br&gt;Typ: Kinofilm&lt;br&gt;&lt;a href='https://www.imdb.com/title/tt0119112/?ref_=nm_flmg_com_146'&gt;Link&lt;/a&gt;&lt;/td&gt;&lt;/tr&gt;</v>
      </c>
    </row>
    <row r="148" spans="1:9" x14ac:dyDescent="0.25">
      <c r="A148" t="s">
        <v>991</v>
      </c>
      <c r="B148" t="s">
        <v>1</v>
      </c>
      <c r="C148" t="s">
        <v>0</v>
      </c>
      <c r="D148" t="s">
        <v>314</v>
      </c>
      <c r="E148" t="s">
        <v>743</v>
      </c>
      <c r="F148" t="s">
        <v>316</v>
      </c>
      <c r="G148" t="s">
        <v>151</v>
      </c>
      <c r="H148" t="str">
        <f t="shared" si="5"/>
        <v>tt0127899</v>
      </c>
      <c r="I148" t="str">
        <f t="shared" si="4"/>
        <v>&lt;tr class='rowfilm'&gt;&lt;td class='film'&gt;&lt;img src=' https://m.media-amazon.com/images/M/MV5BZmJlYzhkYWEtZDMzOS00ZmFlLWIyNjUtODEwOTIwMTBlZjgzXkEyXkFqcGdeQXVyMjQzMzQzODY@._V1_UY209_CR12,0,140,209_AL_.jpg'&gt;&lt;/td&gt;&lt;td class='beschreibung'&gt;&lt;strong&gt;Sous les pieds des femmes&lt;/strong&gt;&lt;br&gt;Jahr: 1997&lt;br&gt;Filmmusik&lt;br&gt;Rolle: Komponent&lt;br&gt;Typ: Kinofilm&lt;br&gt;&lt;a href='https://www.imdb.com/title/tt0127899/?ref_=nm_flmg_com_147'&gt;Link&lt;/a&gt;&lt;/td&gt;&lt;/tr&gt;</v>
      </c>
    </row>
    <row r="149" spans="1:9" x14ac:dyDescent="0.25">
      <c r="A149" t="s">
        <v>868</v>
      </c>
      <c r="B149" t="s">
        <v>1</v>
      </c>
      <c r="C149" t="s">
        <v>0</v>
      </c>
      <c r="D149" t="s">
        <v>314</v>
      </c>
      <c r="E149" t="s">
        <v>717</v>
      </c>
      <c r="F149" t="s">
        <v>729</v>
      </c>
      <c r="G149" t="s">
        <v>152</v>
      </c>
      <c r="H149" t="str">
        <f t="shared" si="5"/>
        <v>tt0120406</v>
      </c>
      <c r="I149" t="str">
        <f t="shared" si="4"/>
        <v>&lt;tr class='rowfilm'&gt;&lt;td class='film'&gt;&lt;img src=' https://m.media-amazon.com/images/G/01/imdb/images/nopicture/140x209/film-4001654135._CB466678728_.png'&gt;&lt;/td&gt;&lt;td class='beschreibung'&gt;&lt;strong&gt;Un petit grain de folie&lt;/strong&gt;&lt;br&gt;Jahr: 1997&lt;br&gt;Filmmusik&lt;br&gt;Rolle: Komponent&lt;br&gt;Typ: Fernsehfilm&lt;br&gt;&lt;a href='https://www.imdb.com/title/tt0120406/?ref_=nm_flmg_com_148'&gt;Link&lt;/a&gt;&lt;/td&gt;&lt;/tr&gt;</v>
      </c>
    </row>
    <row r="150" spans="1:9" x14ac:dyDescent="0.25">
      <c r="A150" t="s">
        <v>868</v>
      </c>
      <c r="B150" t="s">
        <v>1</v>
      </c>
      <c r="C150" t="s">
        <v>0</v>
      </c>
      <c r="D150" t="s">
        <v>314</v>
      </c>
      <c r="E150" t="s">
        <v>717</v>
      </c>
      <c r="F150" t="s">
        <v>730</v>
      </c>
      <c r="G150" t="s">
        <v>153</v>
      </c>
      <c r="H150" t="str">
        <f t="shared" si="5"/>
        <v>tt0246318</v>
      </c>
      <c r="I150" t="str">
        <f t="shared" si="4"/>
        <v>&lt;tr class='rowfilm'&gt;&lt;td class='film'&gt;&lt;img src=' https://m.media-amazon.com/images/G/01/imdb/images/nopicture/140x209/film-4001654135._CB466678728_.png'&gt;&lt;/td&gt;&lt;td class='beschreibung'&gt;&lt;strong&gt;La voisine&lt;/strong&gt;&lt;br&gt;Jahr: 1997&lt;br&gt;Filmmusik&lt;br&gt;Rolle: Komponent&lt;br&gt;Typ: Fernsehfilm&lt;br&gt;&lt;a href='https://www.imdb.com/title/tt0246318/?ref_=nm_flmg_com_149'&gt;Link&lt;/a&gt;&lt;/td&gt;&lt;/tr&gt;</v>
      </c>
    </row>
    <row r="151" spans="1:9" x14ac:dyDescent="0.25">
      <c r="A151" t="s">
        <v>868</v>
      </c>
      <c r="B151" t="s">
        <v>1</v>
      </c>
      <c r="C151" t="s">
        <v>0</v>
      </c>
      <c r="D151" t="s">
        <v>302</v>
      </c>
      <c r="E151" t="s">
        <v>717</v>
      </c>
      <c r="F151" t="s">
        <v>731</v>
      </c>
      <c r="G151" t="s">
        <v>154</v>
      </c>
      <c r="H151" t="str">
        <f t="shared" si="5"/>
        <v>tt0208517</v>
      </c>
      <c r="I151" t="str">
        <f t="shared" si="4"/>
        <v>&lt;tr class='rowfilm'&gt;&lt;td class='film'&gt;&lt;img src=' https://m.media-amazon.com/images/G/01/imdb/images/nopicture/140x209/film-4001654135._CB466678728_.png'&gt;&lt;/td&gt;&lt;td class='beschreibung'&gt;&lt;strong&gt;Tout ce qui brille&lt;/strong&gt;&lt;br&gt;Jahr: 1996&lt;br&gt;Filmmusik&lt;br&gt;Rolle: Komponent&lt;br&gt;Typ: Fernsehfilm&lt;br&gt;&lt;a href='https://www.imdb.com/title/tt0208517/?ref_=nm_flmg_com_150'&gt;Link&lt;/a&gt;&lt;/td&gt;&lt;/tr&gt;</v>
      </c>
    </row>
    <row r="152" spans="1:9" x14ac:dyDescent="0.25">
      <c r="A152" t="s">
        <v>994</v>
      </c>
      <c r="B152" t="s">
        <v>1</v>
      </c>
      <c r="C152" t="s">
        <v>0</v>
      </c>
      <c r="D152" t="s">
        <v>302</v>
      </c>
      <c r="E152" t="s">
        <v>743</v>
      </c>
      <c r="F152" t="s">
        <v>317</v>
      </c>
      <c r="G152" t="s">
        <v>155</v>
      </c>
      <c r="H152" t="str">
        <f t="shared" si="5"/>
        <v>tt0116932</v>
      </c>
      <c r="I152" t="str">
        <f t="shared" si="4"/>
        <v>&lt;tr class='rowfilm'&gt;&lt;td class='film'&gt;&lt;img src=' https://m.media-amazon.com/images/M/MV5BMTQ1MTAxMjgxNV5BMl5BanBnXkFtZTcwODQ5NDEzMQ@@._V1_UY209_CR4,0,140,209_AL_.jpg'&gt;&lt;/td&gt;&lt;td class='beschreibung'&gt;&lt;strong&gt;Love, etc.&lt;/strong&gt;&lt;br&gt;Jahr: 1996&lt;br&gt;Filmmusik&lt;br&gt;Rolle: Komponent&lt;br&gt;Typ: Kinofilm&lt;br&gt;&lt;a href='https://www.imdb.com/title/tt0116932/?ref_=nm_flmg_com_151'&gt;Link&lt;/a&gt;&lt;/td&gt;&lt;/tr&gt;</v>
      </c>
    </row>
    <row r="153" spans="1:9" x14ac:dyDescent="0.25">
      <c r="A153" t="s">
        <v>995</v>
      </c>
      <c r="B153" t="s">
        <v>1</v>
      </c>
      <c r="C153" t="s">
        <v>0</v>
      </c>
      <c r="D153" t="s">
        <v>302</v>
      </c>
      <c r="E153" t="s">
        <v>743</v>
      </c>
      <c r="F153" t="s">
        <v>318</v>
      </c>
      <c r="G153" t="s">
        <v>156</v>
      </c>
      <c r="H153" t="str">
        <f t="shared" si="5"/>
        <v>tt0117303</v>
      </c>
      <c r="I153" t="str">
        <f t="shared" si="4"/>
        <v>&lt;tr class='rowfilm'&gt;&lt;td class='film'&gt;&lt;img src=' https://m.media-amazon.com/images/M/MV5BNTZhOWZjZWUtOTRlZi00Yjg0LWIwNGEtZTVjN2RjZWIxYzhhXkEyXkFqcGdeQXVyMjQzMzQzODY@._V1_UY209_CR6,0,140,209_AL_.jpg'&gt;&lt;/td&gt;&lt;td class='beschreibung'&gt;&lt;strong&gt;Passage à l'acte&lt;/strong&gt;&lt;br&gt;Jahr: 1996&lt;br&gt;Filmmusik&lt;br&gt;Rolle: Komponent&lt;br&gt;Typ: Kinofilm&lt;br&gt;&lt;a href='https://www.imdb.com/title/tt0117303/?ref_=nm_flmg_com_152'&gt;Link&lt;/a&gt;&lt;/td&gt;&lt;/tr&gt;</v>
      </c>
    </row>
    <row r="154" spans="1:9" x14ac:dyDescent="0.25">
      <c r="A154" t="s">
        <v>996</v>
      </c>
      <c r="B154" t="s">
        <v>1</v>
      </c>
      <c r="C154" t="s">
        <v>0</v>
      </c>
      <c r="D154" t="s">
        <v>302</v>
      </c>
      <c r="E154" t="s">
        <v>743</v>
      </c>
      <c r="F154" t="s">
        <v>319</v>
      </c>
      <c r="G154" t="s">
        <v>157</v>
      </c>
      <c r="H154" t="str">
        <f t="shared" si="5"/>
        <v>tt0115973</v>
      </c>
      <c r="I154" t="str">
        <f t="shared" si="4"/>
        <v>&lt;tr class='rowfilm'&gt;&lt;td class='film'&gt;&lt;img src=' https://m.media-amazon.com/images/M/MV5BNDU2MjM2MzY4MF5BMl5BanBnXkFtZTcwMTczMzIyMQ@@._V1_UY209_CR1,0,140,209_AL_.jpg'&gt;&lt;/td&gt;&lt;td class='beschreibung'&gt;&lt;strong&gt;Der Schrei der Seide&lt;/strong&gt;&lt;br&gt;Jahr: 1996&lt;br&gt;Filmmusik&lt;br&gt;Rolle: Komponent&lt;br&gt;Typ: Kinofilm&lt;br&gt;&lt;a href='https://www.imdb.com/title/tt0115973/?ref_=nm_flmg_com_153'&gt;Link&lt;/a&gt;&lt;/td&gt;&lt;/tr&gt;</v>
      </c>
    </row>
    <row r="155" spans="1:9" x14ac:dyDescent="0.25">
      <c r="A155" t="s">
        <v>868</v>
      </c>
      <c r="B155" t="s">
        <v>1</v>
      </c>
      <c r="C155" t="s">
        <v>0</v>
      </c>
      <c r="D155" t="s">
        <v>302</v>
      </c>
      <c r="E155" t="s">
        <v>717</v>
      </c>
      <c r="F155" t="s">
        <v>732</v>
      </c>
      <c r="G155" t="s">
        <v>158</v>
      </c>
      <c r="H155" t="str">
        <f t="shared" si="5"/>
        <v>tt0273163</v>
      </c>
      <c r="I155" t="str">
        <f t="shared" si="4"/>
        <v>&lt;tr class='rowfilm'&gt;&lt;td class='film'&gt;&lt;img src=' https://m.media-amazon.com/images/G/01/imdb/images/nopicture/140x209/film-4001654135._CB466678728_.png'&gt;&lt;/td&gt;&lt;td class='beschreibung'&gt;&lt;strong&gt;Yasmina, die Liebe und das Meer&lt;/strong&gt;&lt;br&gt;Jahr: 1996&lt;br&gt;Filmmusik&lt;br&gt;Rolle: Komponent&lt;br&gt;Typ: Fernsehfilm&lt;br&gt;&lt;a href='https://www.imdb.com/title/tt0273163/?ref_=nm_flmg_com_154'&gt;Link&lt;/a&gt;&lt;/td&gt;&lt;/tr&gt;</v>
      </c>
    </row>
    <row r="156" spans="1:9" x14ac:dyDescent="0.25">
      <c r="A156" t="s">
        <v>1007</v>
      </c>
      <c r="B156" t="s">
        <v>1</v>
      </c>
      <c r="C156" t="s">
        <v>0</v>
      </c>
      <c r="D156" t="s">
        <v>302</v>
      </c>
      <c r="E156" t="s">
        <v>667</v>
      </c>
      <c r="F156" t="s">
        <v>674</v>
      </c>
      <c r="G156" t="s">
        <v>159</v>
      </c>
      <c r="H156" t="str">
        <f t="shared" si="5"/>
        <v>tt3793732</v>
      </c>
      <c r="I156" t="str">
        <f t="shared" si="4"/>
        <v>&lt;tr class='rowfilm'&gt;&lt;td class='film'&gt;&lt;img src=' https://m.media-amazon.com/images/M/MV5BMjE2MjQ3NDY5Ml5BMl5BanBnXkFtZTcwMjM2NDU4MQ@@._V1_UY209_CR6,0,140,209_AL_.jpg'&gt;&lt;/td&gt;&lt;td class='beschreibung'&gt;&lt;strong&gt;Les mercredis de la vie&lt;/strong&gt;&lt;br&gt;Jahr: 1996&lt;br&gt;Filmmusik&lt;br&gt;Rolle: Komponent&lt;br&gt;Typ: TV Serie&lt;br&gt;&lt;a href='https://www.imdb.com/title/tt3793732/?ref_=nm_flmg_com_155'&gt;Link&lt;/a&gt;&lt;/td&gt;&lt;/tr&gt;</v>
      </c>
    </row>
    <row r="157" spans="1:9" x14ac:dyDescent="0.25">
      <c r="A157" t="s">
        <v>997</v>
      </c>
      <c r="B157" t="s">
        <v>1</v>
      </c>
      <c r="C157" t="s">
        <v>0</v>
      </c>
      <c r="D157" t="s">
        <v>302</v>
      </c>
      <c r="E157" t="s">
        <v>743</v>
      </c>
      <c r="F157" t="s">
        <v>320</v>
      </c>
      <c r="G157" t="s">
        <v>160</v>
      </c>
      <c r="H157" t="str">
        <f t="shared" si="5"/>
        <v>tt0113716</v>
      </c>
      <c r="I157" t="str">
        <f t="shared" si="4"/>
        <v>&lt;tr class='rowfilm'&gt;&lt;td class='film'&gt;&lt;img src=' https://m.media-amazon.com/images/M/MV5BN2Q1NjNlMTEtOTkwMy00Mzg5LWE4MTgtMDU2YTVhZDljZjNjXkEyXkFqcGdeQXVyMjQzMzQzODY@._V1_UY209_CR7,0,140,209_AL_.jpg'&gt;&lt;/td&gt;&lt;td class='beschreibung'&gt;&lt;strong&gt;Lucky Punch&lt;/strong&gt;&lt;br&gt;Jahr: 1996&lt;br&gt;Filmmusik&lt;br&gt;Rolle: Komponent&lt;br&gt;Typ: Kinofilm&lt;br&gt;&lt;a href='https://www.imdb.com/title/tt0113716/?ref_=nm_flmg_com_156'&gt;Link&lt;/a&gt;&lt;/td&gt;&lt;/tr&gt;</v>
      </c>
    </row>
    <row r="158" spans="1:9" x14ac:dyDescent="0.25">
      <c r="A158" t="s">
        <v>993</v>
      </c>
      <c r="B158" t="s">
        <v>1</v>
      </c>
      <c r="C158" t="s">
        <v>0</v>
      </c>
      <c r="D158" t="s">
        <v>302</v>
      </c>
      <c r="E158" t="s">
        <v>743</v>
      </c>
      <c r="F158" t="s">
        <v>321</v>
      </c>
      <c r="G158" t="s">
        <v>161</v>
      </c>
      <c r="H158" t="str">
        <f t="shared" si="5"/>
        <v>tt0118020</v>
      </c>
      <c r="I158" t="str">
        <f t="shared" si="4"/>
        <v>&lt;tr class='rowfilm'&gt;&lt;td class='film'&gt;&lt;img src=' https://m.media-amazon.com/images/M/MV5BNGZlYjk4ZDAtYzIzYS00ZTAwLTlmNDYtM2IyZjZlNThkOGRjXkEyXkFqcGdeQXVyMjQzMzQzODY@._V1_UY209_CR3,0,140,209_AL_.jpg'&gt;&lt;/td&gt;&lt;td class='beschreibung'&gt;&lt;strong&gt;Das Leben - Eine Lüge&lt;/strong&gt;&lt;br&gt;Jahr: 1996&lt;br&gt;Filmmusik&lt;br&gt;Rolle: Komponent&lt;br&gt;Typ: Kinofilm&lt;br&gt;&lt;a href='https://www.imdb.com/title/tt0118020/?ref_=nm_flmg_com_157'&gt;Link&lt;/a&gt;&lt;/td&gt;&lt;/tr&gt;</v>
      </c>
    </row>
    <row r="159" spans="1:9" x14ac:dyDescent="0.25">
      <c r="A159" t="s">
        <v>868</v>
      </c>
      <c r="B159" t="s">
        <v>1</v>
      </c>
      <c r="C159" t="s">
        <v>0</v>
      </c>
      <c r="D159" t="s">
        <v>302</v>
      </c>
      <c r="E159" t="s">
        <v>717</v>
      </c>
      <c r="F159" t="s">
        <v>733</v>
      </c>
      <c r="G159" t="s">
        <v>162</v>
      </c>
      <c r="H159" t="str">
        <f t="shared" si="5"/>
        <v>tt0363901</v>
      </c>
      <c r="I159" t="str">
        <f t="shared" si="4"/>
        <v>&lt;tr class='rowfilm'&gt;&lt;td class='film'&gt;&lt;img src=' https://m.media-amazon.com/images/G/01/imdb/images/nopicture/140x209/film-4001654135._CB466678728_.png'&gt;&lt;/td&gt;&lt;td class='beschreibung'&gt;&lt;strong&gt;Le poteau d'Aldo&lt;/strong&gt;&lt;br&gt;Jahr: 1996&lt;br&gt;Filmmusik&lt;br&gt;Rolle: Komponent&lt;br&gt;Typ: Fernsehfilm&lt;br&gt;&lt;a href='https://www.imdb.com/title/tt0363901/?ref_=nm_flmg_com_158'&gt;Link&lt;/a&gt;&lt;/td&gt;&lt;/tr&gt;</v>
      </c>
    </row>
    <row r="160" spans="1:9" x14ac:dyDescent="0.25">
      <c r="A160" t="s">
        <v>868</v>
      </c>
      <c r="B160" t="s">
        <v>1</v>
      </c>
      <c r="C160" t="s">
        <v>0</v>
      </c>
      <c r="D160" t="s">
        <v>302</v>
      </c>
      <c r="E160" t="s">
        <v>743</v>
      </c>
      <c r="F160" t="s">
        <v>689</v>
      </c>
      <c r="G160" t="s">
        <v>163</v>
      </c>
      <c r="H160" t="str">
        <f t="shared" si="5"/>
        <v>tt9460866</v>
      </c>
      <c r="I160" t="str">
        <f t="shared" si="4"/>
        <v>&lt;tr class='rowfilm'&gt;&lt;td class='film'&gt;&lt;img src=' https://m.media-amazon.com/images/G/01/imdb/images/nopicture/140x209/film-4001654135._CB466678728_.png'&gt;&lt;/td&gt;&lt;td class='beschreibung'&gt;&lt;strong&gt;Ne bougez plus!&lt;/strong&gt;&lt;br&gt;Jahr: 1996&lt;br&gt;Filmmusik&lt;br&gt;Rolle: Komponent&lt;br&gt;Typ: Kinofilm&lt;br&gt;&lt;a href='https://www.imdb.com/title/tt9460866/?ref_=nm_flmg_com_159'&gt;Link&lt;/a&gt;&lt;/td&gt;&lt;/tr&gt;</v>
      </c>
    </row>
    <row r="161" spans="1:9" x14ac:dyDescent="0.25">
      <c r="A161" t="s">
        <v>868</v>
      </c>
      <c r="B161" t="s">
        <v>1</v>
      </c>
      <c r="C161" t="s">
        <v>0</v>
      </c>
      <c r="D161" t="s">
        <v>302</v>
      </c>
      <c r="E161" t="s">
        <v>717</v>
      </c>
      <c r="F161" t="s">
        <v>734</v>
      </c>
      <c r="G161" t="s">
        <v>164</v>
      </c>
      <c r="H161" t="str">
        <f t="shared" si="5"/>
        <v>tt1948226</v>
      </c>
      <c r="I161" t="str">
        <f t="shared" si="4"/>
        <v>&lt;tr class='rowfilm'&gt;&lt;td class='film'&gt;&lt;img src=' https://m.media-amazon.com/images/G/01/imdb/images/nopicture/140x209/film-4001654135._CB466678728_.png'&gt;&lt;/td&gt;&lt;td class='beschreibung'&gt;&lt;strong&gt;Échappée belle&lt;/strong&gt;&lt;br&gt;Jahr: 1996&lt;br&gt;Filmmusik&lt;br&gt;Rolle: Komponent&lt;br&gt;Typ: Fernsehfilm&lt;br&gt;&lt;a href='https://www.imdb.com/title/tt1948226/?ref_=nm_flmg_com_160'&gt;Link&lt;/a&gt;&lt;/td&gt;&lt;/tr&gt;</v>
      </c>
    </row>
    <row r="162" spans="1:9" x14ac:dyDescent="0.25">
      <c r="A162" t="s">
        <v>868</v>
      </c>
      <c r="B162" t="s">
        <v>1</v>
      </c>
      <c r="C162" t="s">
        <v>0</v>
      </c>
      <c r="D162" t="s">
        <v>322</v>
      </c>
      <c r="E162" t="s">
        <v>743</v>
      </c>
      <c r="F162" t="s">
        <v>690</v>
      </c>
      <c r="G162" t="s">
        <v>165</v>
      </c>
      <c r="H162" t="str">
        <f t="shared" si="5"/>
        <v>tt0421766</v>
      </c>
      <c r="I162" t="str">
        <f t="shared" si="4"/>
        <v>&lt;tr class='rowfilm'&gt;&lt;td class='film'&gt;&lt;img src=' https://m.media-amazon.com/images/G/01/imdb/images/nopicture/140x209/film-4001654135._CB466678728_.png'&gt;&lt;/td&gt;&lt;td class='beschreibung'&gt;&lt;strong&gt;Bons baisers de Suzanne&lt;/strong&gt;&lt;br&gt;Jahr: 1995&lt;br&gt;Filmmusik&lt;br&gt;Rolle: Komponent&lt;br&gt;Typ: Kinofilm&lt;br&gt;&lt;a href='https://www.imdb.com/title/tt0421766/?ref_=nm_flmg_com_161'&gt;Link&lt;/a&gt;&lt;/td&gt;&lt;/tr&gt;</v>
      </c>
    </row>
    <row r="163" spans="1:9" x14ac:dyDescent="0.25">
      <c r="A163" t="s">
        <v>868</v>
      </c>
      <c r="B163" t="s">
        <v>1</v>
      </c>
      <c r="C163" t="s">
        <v>0</v>
      </c>
      <c r="D163" t="s">
        <v>322</v>
      </c>
      <c r="E163" t="s">
        <v>743</v>
      </c>
      <c r="F163" t="s">
        <v>691</v>
      </c>
      <c r="G163" t="s">
        <v>166</v>
      </c>
      <c r="H163" t="str">
        <f t="shared" si="5"/>
        <v>tt0316459</v>
      </c>
      <c r="I163" t="str">
        <f t="shared" si="4"/>
        <v>&lt;tr class='rowfilm'&gt;&lt;td class='film'&gt;&lt;img src=' https://m.media-amazon.com/images/G/01/imdb/images/nopicture/140x209/film-4001654135._CB466678728_.png'&gt;&lt;/td&gt;&lt;td class='beschreibung'&gt;&lt;strong&gt;Quand je serai grand, mon père il sera policier&lt;/strong&gt;&lt;br&gt;Jahr: 1995&lt;br&gt;Filmmusik&lt;br&gt;Rolle: Komponent&lt;br&gt;Typ: Kinofilm&lt;br&gt;&lt;a href='https://www.imdb.com/title/tt0316459/?ref_=nm_flmg_com_162'&gt;Link&lt;/a&gt;&lt;/td&gt;&lt;/tr&gt;</v>
      </c>
    </row>
    <row r="164" spans="1:9" x14ac:dyDescent="0.25">
      <c r="A164" t="s">
        <v>868</v>
      </c>
      <c r="B164" t="s">
        <v>1</v>
      </c>
      <c r="C164" t="s">
        <v>0</v>
      </c>
      <c r="D164" t="s">
        <v>322</v>
      </c>
      <c r="E164" t="s">
        <v>717</v>
      </c>
      <c r="F164" t="s">
        <v>735</v>
      </c>
      <c r="G164" t="s">
        <v>167</v>
      </c>
      <c r="H164" t="str">
        <f t="shared" si="5"/>
        <v>tt0267494</v>
      </c>
      <c r="I164" t="str">
        <f t="shared" si="4"/>
        <v>&lt;tr class='rowfilm'&gt;&lt;td class='film'&gt;&lt;img src=' https://m.media-amazon.com/images/G/01/imdb/images/nopicture/140x209/film-4001654135._CB466678728_.png'&gt;&lt;/td&gt;&lt;td class='beschreibung'&gt;&lt;strong&gt;Le fils de Paul&lt;/strong&gt;&lt;br&gt;Jahr: 1995&lt;br&gt;Filmmusik&lt;br&gt;Rolle: Komponent&lt;br&gt;Typ: Fernsehfilm&lt;br&gt;&lt;a href='https://www.imdb.com/title/tt0267494/?ref_=nm_flmg_com_163'&gt;Link&lt;/a&gt;&lt;/td&gt;&lt;/tr&gt;</v>
      </c>
    </row>
    <row r="165" spans="1:9" x14ac:dyDescent="0.25">
      <c r="A165" t="s">
        <v>1001</v>
      </c>
      <c r="B165" t="s">
        <v>1</v>
      </c>
      <c r="C165" t="s">
        <v>0</v>
      </c>
      <c r="D165" t="s">
        <v>322</v>
      </c>
      <c r="E165" t="s">
        <v>743</v>
      </c>
      <c r="F165" t="s">
        <v>323</v>
      </c>
      <c r="G165" t="s">
        <v>168</v>
      </c>
      <c r="H165" t="str">
        <f t="shared" si="5"/>
        <v>tt0114146</v>
      </c>
      <c r="I165" t="str">
        <f t="shared" si="4"/>
        <v>&lt;tr class='rowfilm'&gt;&lt;td class='film'&gt;&lt;img src=' https://m.media-amazon.com/images/M/MV5BMTY3MDg1NDI1NV5BMl5BanBnXkFtZTcwMjM4MDcyMQ@@._V1_UY209_CR3,0,140,209_AL_.jpg'&gt;&lt;/td&gt;&lt;td class='beschreibung'&gt;&lt;strong&gt;Das schönste Alter&lt;/strong&gt;&lt;br&gt;Jahr: 1995&lt;br&gt;Filmmusik&lt;br&gt;Rolle: Komponent&lt;br&gt;Typ: Kinofilm&lt;br&gt;&lt;a href='https://www.imdb.com/title/tt0114146/?ref_=nm_flmg_com_164'&gt;Link&lt;/a&gt;&lt;/td&gt;&lt;/tr&gt;</v>
      </c>
    </row>
    <row r="166" spans="1:9" x14ac:dyDescent="0.25">
      <c r="A166" t="s">
        <v>1003</v>
      </c>
      <c r="B166" t="s">
        <v>1</v>
      </c>
      <c r="C166" t="s">
        <v>0</v>
      </c>
      <c r="D166" t="s">
        <v>322</v>
      </c>
      <c r="E166" t="s">
        <v>743</v>
      </c>
      <c r="F166" t="s">
        <v>324</v>
      </c>
      <c r="G166" t="s">
        <v>169</v>
      </c>
      <c r="H166" t="str">
        <f t="shared" si="5"/>
        <v>tt0110330</v>
      </c>
      <c r="I166" t="str">
        <f t="shared" si="4"/>
        <v>&lt;tr class='rowfilm'&gt;&lt;td class='film'&gt;&lt;img src=' https://m.media-amazon.com/images/M/MV5BMTQyMDc1OTY1MV5BMl5BanBnXkFtZTcwOTk5MzMzMQ@@._V1_UY209_CR3,0,140,209_AL_.jpg'&gt;&lt;/td&gt;&lt;td class='beschreibung'&gt;&lt;strong&gt;Les milles - Gefangen im Lager&lt;/strong&gt;&lt;br&gt;Jahr: 1995&lt;br&gt;Filmmusik&lt;br&gt;Rolle: Komponent&lt;br&gt;Typ: Kinofilm&lt;br&gt;&lt;a href='https://www.imdb.com/title/tt0110330/?ref_=nm_flmg_com_165'&gt;Link&lt;/a&gt;&lt;/td&gt;&lt;/tr&gt;</v>
      </c>
    </row>
    <row r="167" spans="1:9" x14ac:dyDescent="0.25">
      <c r="A167" t="s">
        <v>999</v>
      </c>
      <c r="B167" t="s">
        <v>1</v>
      </c>
      <c r="C167" t="s">
        <v>0</v>
      </c>
      <c r="D167" t="s">
        <v>322</v>
      </c>
      <c r="E167" t="s">
        <v>743</v>
      </c>
      <c r="F167" t="s">
        <v>325</v>
      </c>
      <c r="G167" t="s">
        <v>170</v>
      </c>
      <c r="H167" t="str">
        <f t="shared" si="5"/>
        <v>tt0113249</v>
      </c>
      <c r="I167" t="str">
        <f t="shared" si="4"/>
        <v>&lt;tr class='rowfilm'&gt;&lt;td class='film'&gt;&lt;img src=' https://m.media-amazon.com/images/M/MV5BMTY3NjQ5NjU1NF5BMl5BanBnXkFtZTcwNTM1ODAzMQ@@._V1_UY209_CR2,0,140,209_AL_.jpg'&gt;&lt;/td&gt;&lt;td class='beschreibung'&gt;&lt;strong&gt;Innocent Lies&lt;/strong&gt;&lt;br&gt;Jahr: 1995&lt;br&gt;Filmmusik&lt;br&gt;Rolle: Komponent&lt;br&gt;Typ: Kinofilm&lt;br&gt;&lt;a href='https://www.imdb.com/title/tt0113249/?ref_=nm_flmg_com_166'&gt;Link&lt;/a&gt;&lt;/td&gt;&lt;/tr&gt;</v>
      </c>
    </row>
    <row r="168" spans="1:9" x14ac:dyDescent="0.25">
      <c r="A168" t="s">
        <v>1002</v>
      </c>
      <c r="B168" t="s">
        <v>1</v>
      </c>
      <c r="C168" t="s">
        <v>0</v>
      </c>
      <c r="D168" t="s">
        <v>322</v>
      </c>
      <c r="E168" t="s">
        <v>743</v>
      </c>
      <c r="F168" t="s">
        <v>326</v>
      </c>
      <c r="G168" t="s">
        <v>171</v>
      </c>
      <c r="H168" t="str">
        <f t="shared" si="5"/>
        <v>tt0110469</v>
      </c>
      <c r="I168" t="str">
        <f t="shared" si="4"/>
        <v>&lt;tr class='rowfilm'&gt;&lt;td class='film'&gt;&lt;img src=' https://m.media-amazon.com/images/M/MV5BZjY4ZWQ4OGMtZWNiMy00N2U2LWI0ZjctNDQ4MTI1MDhiYjAyXkEyXkFqcGdeQXVyMTI2OTM0NzQ@._V1_UY209_CR15,0,140,209_AL_.jpg'&gt;&lt;/td&gt;&lt;td class='beschreibung'&gt;&lt;strong&gt;Marie-Louise ou la permission&lt;/strong&gt;&lt;br&gt;Jahr: 1995&lt;br&gt;Filmmusik&lt;br&gt;Rolle: Komponent&lt;br&gt;Typ: Kinofilm&lt;br&gt;&lt;a href='https://www.imdb.com/title/tt0110469/?ref_=nm_flmg_com_167'&gt;Link&lt;/a&gt;&lt;/td&gt;&lt;/tr&gt;</v>
      </c>
    </row>
    <row r="169" spans="1:9" x14ac:dyDescent="0.25">
      <c r="A169" t="s">
        <v>868</v>
      </c>
      <c r="B169" t="s">
        <v>1</v>
      </c>
      <c r="C169" t="s">
        <v>0</v>
      </c>
      <c r="D169" t="s">
        <v>327</v>
      </c>
      <c r="E169" t="s">
        <v>743</v>
      </c>
      <c r="F169" t="s">
        <v>692</v>
      </c>
      <c r="G169" t="s">
        <v>172</v>
      </c>
      <c r="H169" t="str">
        <f t="shared" si="5"/>
        <v>tt9460836</v>
      </c>
      <c r="I169" t="str">
        <f t="shared" si="4"/>
        <v>&lt;tr class='rowfilm'&gt;&lt;td class='film'&gt;&lt;img src=' https://m.media-amazon.com/images/G/01/imdb/images/nopicture/140x209/film-4001654135._CB466678728_.png'&gt;&lt;/td&gt;&lt;td class='beschreibung'&gt;&lt;strong&gt;Mr Heinz?!&lt;/strong&gt;&lt;br&gt;Jahr: 1994&lt;br&gt;Filmmusik&lt;br&gt;Rolle: Komponent&lt;br&gt;Typ: Kinofilm&lt;br&gt;&lt;a href='https://www.imdb.com/title/tt9460836/?ref_=nm_flmg_com_168'&gt;Link&lt;/a&gt;&lt;/td&gt;&lt;/tr&gt;</v>
      </c>
    </row>
    <row r="170" spans="1:9" x14ac:dyDescent="0.25">
      <c r="A170" t="s">
        <v>1004</v>
      </c>
      <c r="B170" t="s">
        <v>1</v>
      </c>
      <c r="C170" t="s">
        <v>0</v>
      </c>
      <c r="D170" t="s">
        <v>327</v>
      </c>
      <c r="E170" t="s">
        <v>743</v>
      </c>
      <c r="F170" t="s">
        <v>328</v>
      </c>
      <c r="G170" t="s">
        <v>173</v>
      </c>
      <c r="H170" t="str">
        <f t="shared" si="5"/>
        <v>tt0110958</v>
      </c>
      <c r="I170" t="str">
        <f t="shared" si="4"/>
        <v>&lt;tr class='rowfilm'&gt;&lt;td class='film'&gt;&lt;img src=' https://m.media-amazon.com/images/M/MV5BZjAyOGVjYTMtZGJlMi00M2U4LTg1ZTQtNjIxNTIwODkxYmRlXkEyXkFqcGdeQXVyMzU0NzkwMDg@._V1_UY209_CR3,0,140,209_AL_.jpg'&gt;&lt;/td&gt;&lt;td class='beschreibung'&gt;&lt;strong&gt;Wenn Männer fallen&lt;/strong&gt;&lt;br&gt;Jahr: 1994&lt;br&gt;Filmmusik&lt;br&gt;Rolle: Komponent&lt;br&gt;Typ: Kinofilm&lt;br&gt;&lt;a href='https://www.imdb.com/title/tt0110958/?ref_=nm_flmg_com_169'&gt;Link&lt;/a&gt;&lt;/td&gt;&lt;/tr&gt;</v>
      </c>
    </row>
    <row r="171" spans="1:9" x14ac:dyDescent="0.25">
      <c r="A171" t="s">
        <v>1005</v>
      </c>
      <c r="B171" t="s">
        <v>1</v>
      </c>
      <c r="C171" t="s">
        <v>0</v>
      </c>
      <c r="D171" t="s">
        <v>327</v>
      </c>
      <c r="E171" t="s">
        <v>717</v>
      </c>
      <c r="F171" t="s">
        <v>736</v>
      </c>
      <c r="G171" t="s">
        <v>174</v>
      </c>
      <c r="H171" t="str">
        <f t="shared" si="5"/>
        <v>tt0184805</v>
      </c>
      <c r="I171" t="str">
        <f t="shared" si="4"/>
        <v>&lt;tr class='rowfilm'&gt;&lt;td class='film'&gt;&lt;img src=' https://m.media-amazon.com/images/M/MV5BMjc5NmIzNGMtMjU5Mi00NTdhLTkzYTgtZGVmNjk5NGYxYzI4XkEyXkFqcGdeQXVyMjE4NzY3Mw@@._V1_UX140_CR0,0,140,209_AL_.jpg'&gt;&lt;/td&gt;&lt;td class='beschreibung'&gt;&lt;strong&gt;Le paradis absolument&lt;/strong&gt;&lt;br&gt;Jahr: 1994&lt;br&gt;Filmmusik&lt;br&gt;Rolle: Komponent&lt;br&gt;Typ: Fernsehfilm&lt;br&gt;&lt;a href='https://www.imdb.com/title/tt0184805/?ref_=nm_flmg_com_170'&gt;Link&lt;/a&gt;&lt;/td&gt;&lt;/tr&gt;</v>
      </c>
    </row>
    <row r="172" spans="1:9" x14ac:dyDescent="0.25">
      <c r="A172" t="s">
        <v>868</v>
      </c>
      <c r="B172" t="s">
        <v>1</v>
      </c>
      <c r="C172" t="s">
        <v>0</v>
      </c>
      <c r="D172" t="s">
        <v>327</v>
      </c>
      <c r="E172" t="s">
        <v>743</v>
      </c>
      <c r="F172" t="s">
        <v>693</v>
      </c>
      <c r="G172" t="s">
        <v>175</v>
      </c>
      <c r="H172" t="str">
        <f t="shared" si="5"/>
        <v>tt3317168</v>
      </c>
      <c r="I172" t="str">
        <f t="shared" si="4"/>
        <v>&lt;tr class='rowfilm'&gt;&lt;td class='film'&gt;&lt;img src=' https://m.media-amazon.com/images/G/01/imdb/images/nopicture/140x209/film-4001654135._CB466678728_.png'&gt;&lt;/td&gt;&lt;td class='beschreibung'&gt;&lt;strong&gt;La Vienne dynamique&lt;/strong&gt;&lt;br&gt;Jahr: 1994&lt;br&gt;Filmmusik&lt;br&gt;Rolle: Komponent&lt;br&gt;Typ: Kinofilm&lt;br&gt;&lt;a href='https://www.imdb.com/title/tt3317168/?ref_=nm_flmg_com_171'&gt;Link&lt;/a&gt;&lt;/td&gt;&lt;/tr&gt;</v>
      </c>
    </row>
    <row r="173" spans="1:9" x14ac:dyDescent="0.25">
      <c r="A173" t="s">
        <v>868</v>
      </c>
      <c r="B173" t="s">
        <v>1</v>
      </c>
      <c r="C173" t="s">
        <v>0</v>
      </c>
      <c r="D173" t="s">
        <v>329</v>
      </c>
      <c r="E173" t="s">
        <v>743</v>
      </c>
      <c r="F173" t="s">
        <v>694</v>
      </c>
      <c r="G173" t="s">
        <v>176</v>
      </c>
      <c r="H173" t="str">
        <f t="shared" si="5"/>
        <v>tt0316064</v>
      </c>
      <c r="I173" t="str">
        <f t="shared" si="4"/>
        <v>&lt;tr class='rowfilm'&gt;&lt;td class='film'&gt;&lt;img src=' https://m.media-amazon.com/images/G/01/imdb/images/nopicture/140x209/film-4001654135._CB466678728_.png'&gt;&lt;/td&gt;&lt;td class='beschreibung'&gt;&lt;strong&gt;Jour de fauche&lt;/strong&gt;&lt;br&gt;Jahr: 1993&lt;br&gt;Filmmusik&lt;br&gt;Rolle: Komponent&lt;br&gt;Typ: Kinofilm&lt;br&gt;&lt;a href='https://www.imdb.com/title/tt0316064/?ref_=nm_flmg_com_172'&gt;Link&lt;/a&gt;&lt;/td&gt;&lt;/tr&gt;</v>
      </c>
    </row>
    <row r="174" spans="1:9" x14ac:dyDescent="0.25">
      <c r="A174" t="s">
        <v>868</v>
      </c>
      <c r="B174" t="s">
        <v>1</v>
      </c>
      <c r="C174" t="s">
        <v>0</v>
      </c>
      <c r="D174" t="s">
        <v>329</v>
      </c>
      <c r="E174" t="s">
        <v>717</v>
      </c>
      <c r="F174" t="s">
        <v>737</v>
      </c>
      <c r="G174" t="s">
        <v>177</v>
      </c>
      <c r="H174" t="str">
        <f t="shared" si="5"/>
        <v>tt0148345</v>
      </c>
      <c r="I174" t="str">
        <f t="shared" si="4"/>
        <v>&lt;tr class='rowfilm'&gt;&lt;td class='film'&gt;&lt;img src=' https://m.media-amazon.com/images/G/01/imdb/images/nopicture/140x209/film-4001654135._CB466678728_.png'&gt;&lt;/td&gt;&lt;td class='beschreibung'&gt;&lt;strong&gt;J'aime pas qu'on m'aime&lt;/strong&gt;&lt;br&gt;Jahr: 1993&lt;br&gt;Filmmusik&lt;br&gt;Rolle: Komponent&lt;br&gt;Typ: Fernsehfilm&lt;br&gt;&lt;a href='https://www.imdb.com/title/tt0148345/?ref_=nm_flmg_com_173'&gt;Link&lt;/a&gt;&lt;/td&gt;&lt;/tr&gt;</v>
      </c>
    </row>
    <row r="175" spans="1:9" x14ac:dyDescent="0.25">
      <c r="A175" t="s">
        <v>1006</v>
      </c>
      <c r="B175" t="s">
        <v>1</v>
      </c>
      <c r="C175" t="s">
        <v>0</v>
      </c>
      <c r="D175" t="s">
        <v>329</v>
      </c>
      <c r="E175" t="s">
        <v>743</v>
      </c>
      <c r="F175" t="s">
        <v>330</v>
      </c>
      <c r="G175" t="s">
        <v>178</v>
      </c>
      <c r="H175" t="str">
        <f t="shared" si="5"/>
        <v>tt0107146</v>
      </c>
      <c r="I175" t="str">
        <f t="shared" si="4"/>
        <v>&lt;tr class='rowfilm'&gt;&lt;td class='film'&gt;&lt;img src=' https://m.media-amazon.com/images/M/MV5BYTRkYzFkOWItODhhNS00MGQ2LWI4YmItMWRkM2RkYzg1ZGUzXkEyXkFqcGdeQXVyNjMwMjk0MTQ@._V1_UX140_CR0,0,140,209_AL_.jpg'&gt;&lt;/td&gt;&lt;td class='beschreibung'&gt;&lt;strong&gt;Pesthauch des Bösen&lt;/strong&gt;&lt;br&gt;Jahr: 1993&lt;br&gt;Filmmusik&lt;br&gt;Rolle: Komponent&lt;br&gt;Typ: Kinofilm&lt;br&gt;&lt;a href='https://www.imdb.com/title/tt0107146/?ref_=nm_flmg_com_174'&gt;Link&lt;/a&gt;&lt;/td&gt;&lt;/tr&gt;</v>
      </c>
    </row>
    <row r="176" spans="1:9" x14ac:dyDescent="0.25">
      <c r="A176" t="s">
        <v>1008</v>
      </c>
      <c r="B176" t="s">
        <v>1</v>
      </c>
      <c r="C176" t="s">
        <v>0</v>
      </c>
      <c r="D176" t="s">
        <v>329</v>
      </c>
      <c r="E176" t="s">
        <v>743</v>
      </c>
      <c r="F176" t="s">
        <v>331</v>
      </c>
      <c r="G176" t="s">
        <v>179</v>
      </c>
      <c r="H176" t="str">
        <f t="shared" si="5"/>
        <v>tt0197975</v>
      </c>
      <c r="I176" t="str">
        <f t="shared" si="4"/>
        <v>&lt;tr class='rowfilm'&gt;&lt;td class='film'&gt;&lt;img src=' https://m.media-amazon.com/images/M/MV5BNDZmYmM2ZmMtY2Q2MC00MTdlLTkzYjQtY2FjMGRiNDBkN2UzXkEyXkFqcGdeQXVyNzQyODI3NTI@._V1_UY209_CR6,0,140,209_AL_.jpg'&gt;&lt;/td&gt;&lt;td class='beschreibung'&gt;&lt;strong&gt;Le tronc&lt;/strong&gt;&lt;br&gt;Jahr: 1993&lt;br&gt;Filmmusik&lt;br&gt;Rolle: Komponent&lt;br&gt;Typ: Kinofilm&lt;br&gt;&lt;a href='https://www.imdb.com/title/tt0197975/?ref_=nm_flmg_com_175'&gt;Link&lt;/a&gt;&lt;/td&gt;&lt;/tr&gt;</v>
      </c>
    </row>
    <row r="177" spans="1:9" x14ac:dyDescent="0.25">
      <c r="A177" t="s">
        <v>868</v>
      </c>
      <c r="B177" t="s">
        <v>1</v>
      </c>
      <c r="C177" t="s">
        <v>0</v>
      </c>
      <c r="D177" t="s">
        <v>329</v>
      </c>
      <c r="E177" t="s">
        <v>743</v>
      </c>
      <c r="F177" t="s">
        <v>695</v>
      </c>
      <c r="G177" t="s">
        <v>180</v>
      </c>
      <c r="H177" t="str">
        <f t="shared" si="5"/>
        <v>tt0478858</v>
      </c>
      <c r="I177" t="str">
        <f t="shared" si="4"/>
        <v>&lt;tr class='rowfilm'&gt;&lt;td class='film'&gt;&lt;img src=' https://m.media-amazon.com/images/G/01/imdb/images/nopicture/140x209/film-4001654135._CB466678728_.png'&gt;&lt;/td&gt;&lt;td class='beschreibung'&gt;&lt;strong&gt;Départ en vacances&lt;/strong&gt;&lt;br&gt;Jahr: 1993&lt;br&gt;Filmmusik&lt;br&gt;Rolle: Komponent&lt;br&gt;Typ: Kinofilm&lt;br&gt;&lt;a href='https://www.imdb.com/title/tt0478858/?ref_=nm_flmg_com_176'&gt;Link&lt;/a&gt;&lt;/td&gt;&lt;/tr&gt;</v>
      </c>
    </row>
    <row r="178" spans="1:9" x14ac:dyDescent="0.25">
      <c r="A178" t="s">
        <v>868</v>
      </c>
      <c r="B178" t="s">
        <v>1</v>
      </c>
      <c r="C178" t="s">
        <v>0</v>
      </c>
      <c r="D178" t="s">
        <v>332</v>
      </c>
      <c r="E178" t="s">
        <v>717</v>
      </c>
      <c r="F178" t="s">
        <v>738</v>
      </c>
      <c r="G178" t="s">
        <v>181</v>
      </c>
      <c r="H178" t="str">
        <f t="shared" si="5"/>
        <v>tt0195974</v>
      </c>
      <c r="I178" t="str">
        <f t="shared" si="4"/>
        <v>&lt;tr class='rowfilm'&gt;&lt;td class='film'&gt;&lt;img src=' https://m.media-amazon.com/images/G/01/imdb/images/nopicture/140x209/film-4001654135._CB466678728_.png'&gt;&lt;/td&gt;&lt;td class='beschreibung'&gt;&lt;strong&gt;Papa veut pas que je t'épouse&lt;/strong&gt;&lt;br&gt;Jahr: 1992&lt;br&gt;Filmmusik&lt;br&gt;Rolle: Komponent&lt;br&gt;Typ: Fernsehfilm&lt;br&gt;&lt;a href='https://www.imdb.com/title/tt0195974/?ref_=nm_flmg_com_177'&gt;Link&lt;/a&gt;&lt;/td&gt;&lt;/tr&gt;</v>
      </c>
    </row>
    <row r="179" spans="1:9" x14ac:dyDescent="0.25">
      <c r="A179" t="s">
        <v>1009</v>
      </c>
      <c r="B179" t="s">
        <v>1</v>
      </c>
      <c r="C179" t="s">
        <v>0</v>
      </c>
      <c r="D179" t="s">
        <v>332</v>
      </c>
      <c r="E179" t="s">
        <v>743</v>
      </c>
      <c r="F179" t="s">
        <v>333</v>
      </c>
      <c r="G179" t="s">
        <v>182</v>
      </c>
      <c r="H179" t="str">
        <f t="shared" si="5"/>
        <v>tt0105369</v>
      </c>
      <c r="I179" t="str">
        <f t="shared" si="4"/>
        <v>&lt;tr class='rowfilm'&gt;&lt;td class='film'&gt;&lt;img src=' https://m.media-amazon.com/images/M/MV5BMTRhOGRhMmItMWJiOC00MGJhLTgwZWQtNWJiYjE2ZTcwN2E2XkEyXkFqcGdeQXVyMzU0NzkwMDg@._V1_UY209_CR9,0,140,209_AL_.jpg'&gt;&lt;/td&gt;&lt;td class='beschreibung'&gt;&lt;strong&gt;Sexes faibles!&lt;/strong&gt;&lt;br&gt;Jahr: 1992&lt;br&gt;Filmmusik&lt;br&gt;Rolle: Komponent&lt;br&gt;Typ: Kinofilm&lt;br&gt;&lt;a href='https://www.imdb.com/title/tt0105369/?ref_=nm_flmg_com_178'&gt;Link&lt;/a&gt;&lt;/td&gt;&lt;/tr&gt;</v>
      </c>
    </row>
    <row r="180" spans="1:9" x14ac:dyDescent="0.25">
      <c r="A180" t="s">
        <v>1010</v>
      </c>
      <c r="B180" t="s">
        <v>1</v>
      </c>
      <c r="C180" t="s">
        <v>0</v>
      </c>
      <c r="D180" t="s">
        <v>332</v>
      </c>
      <c r="E180" t="s">
        <v>743</v>
      </c>
      <c r="F180" t="s">
        <v>334</v>
      </c>
      <c r="G180" t="s">
        <v>183</v>
      </c>
      <c r="H180" t="str">
        <f t="shared" si="5"/>
        <v>tt0103731</v>
      </c>
      <c r="I180" t="str">
        <f t="shared" si="4"/>
        <v>&lt;tr class='rowfilm'&gt;&lt;td class='film'&gt;&lt;img src=' https://m.media-amazon.com/images/M/MV5BNDJkMzFkNTgtMTU1MC00MWMxLWI3MGYtNGEzZTBkN2ZkY2UwXkEyXkFqcGdeQXVyNjM3MDIwNjc@._V1_UY209_CR8,0,140,209_AL_.jpg'&gt;&lt;/td&gt;&lt;td class='beschreibung'&gt;&lt;strong&gt;Au nom du père et du fils&lt;/strong&gt;&lt;br&gt;Jahr: 1992&lt;br&gt;Filmmusik&lt;br&gt;Rolle: Komponent&lt;br&gt;Typ: Kinofilm&lt;br&gt;&lt;a href='https://www.imdb.com/title/tt0103731/?ref_=nm_flmg_com_179'&gt;Link&lt;/a&gt;&lt;/td&gt;&lt;/tr&gt;</v>
      </c>
    </row>
    <row r="181" spans="1:9" x14ac:dyDescent="0.25">
      <c r="A181" t="s">
        <v>868</v>
      </c>
      <c r="B181" t="s">
        <v>1</v>
      </c>
      <c r="C181" t="s">
        <v>0</v>
      </c>
      <c r="D181" t="s">
        <v>335</v>
      </c>
      <c r="E181" t="s">
        <v>743</v>
      </c>
      <c r="F181" t="s">
        <v>696</v>
      </c>
      <c r="G181" t="s">
        <v>184</v>
      </c>
      <c r="H181" t="str">
        <f t="shared" si="5"/>
        <v>tt0316508</v>
      </c>
      <c r="I181" t="str">
        <f t="shared" si="4"/>
        <v>&lt;tr class='rowfilm'&gt;&lt;td class='film'&gt;&lt;img src=' https://m.media-amazon.com/images/G/01/imdb/images/nopicture/140x209/film-4001654135._CB466678728_.png'&gt;&lt;/td&gt;&lt;td class='beschreibung'&gt;&lt;strong&gt;Rossignol de mes amours&lt;/strong&gt;&lt;br&gt;Jahr: 1991&lt;br&gt;Filmmusik&lt;br&gt;Rolle: Komponent&lt;br&gt;Typ: Kinofilm&lt;br&gt;&lt;a href='https://www.imdb.com/title/tt0316508/?ref_=nm_flmg_com_180'&gt;Link&lt;/a&gt;&lt;/td&gt;&lt;/tr&gt;</v>
      </c>
    </row>
    <row r="182" spans="1:9" x14ac:dyDescent="0.25">
      <c r="A182" t="s">
        <v>868</v>
      </c>
      <c r="B182" t="s">
        <v>1</v>
      </c>
      <c r="C182" t="s">
        <v>0</v>
      </c>
      <c r="D182" t="s">
        <v>335</v>
      </c>
      <c r="E182" t="s">
        <v>743</v>
      </c>
      <c r="F182" t="s">
        <v>697</v>
      </c>
      <c r="G182" t="s">
        <v>185</v>
      </c>
      <c r="H182" t="str">
        <f t="shared" si="5"/>
        <v>tt0253708</v>
      </c>
      <c r="I182" t="str">
        <f t="shared" si="4"/>
        <v>&lt;tr class='rowfilm'&gt;&lt;td class='film'&gt;&lt;img src=' https://m.media-amazon.com/images/G/01/imdb/images/nopicture/140x209/film-4001654135._CB466678728_.png'&gt;&lt;/td&gt;&lt;td class='beschreibung'&gt;&lt;strong&gt;Simon courage&lt;/strong&gt;&lt;br&gt;Jahr: 1991&lt;br&gt;Filmmusik&lt;br&gt;Rolle: Komponent&lt;br&gt;Typ: Kinofilm&lt;br&gt;&lt;a href='https://www.imdb.com/title/tt0253708/?ref_=nm_flmg_com_181'&gt;Link&lt;/a&gt;&lt;/td&gt;&lt;/tr&gt;</v>
      </c>
    </row>
    <row r="183" spans="1:9" x14ac:dyDescent="0.25">
      <c r="A183" t="s">
        <v>868</v>
      </c>
      <c r="B183" t="s">
        <v>1</v>
      </c>
      <c r="C183" t="s">
        <v>0</v>
      </c>
      <c r="D183" t="s">
        <v>335</v>
      </c>
      <c r="E183" t="s">
        <v>667</v>
      </c>
      <c r="F183" t="s">
        <v>675</v>
      </c>
      <c r="G183" t="s">
        <v>186</v>
      </c>
      <c r="H183" t="str">
        <f t="shared" si="5"/>
        <v>tt0315020</v>
      </c>
      <c r="I183" t="str">
        <f t="shared" si="4"/>
        <v>&lt;tr class='rowfilm'&gt;&lt;td class='film'&gt;&lt;img src=' https://m.media-amazon.com/images/G/01/imdb/images/nopicture/140x209/film-4001654135._CB466678728_.png'&gt;&lt;/td&gt;&lt;td class='beschreibung'&gt;&lt;strong&gt;Le flic de Moscou&lt;/strong&gt;&lt;br&gt;Jahr: 1991&lt;br&gt;Filmmusik&lt;br&gt;Rolle: Komponent&lt;br&gt;Typ: TV Serie&lt;br&gt;&lt;a href='https://www.imdb.com/title/tt0315020/?ref_=nm_flmg_com_182'&gt;Link&lt;/a&gt;&lt;/td&gt;&lt;/tr&gt;</v>
      </c>
    </row>
    <row r="184" spans="1:9" x14ac:dyDescent="0.25">
      <c r="A184" t="s">
        <v>1013</v>
      </c>
      <c r="B184" t="s">
        <v>1</v>
      </c>
      <c r="C184" t="s">
        <v>0</v>
      </c>
      <c r="D184" t="s">
        <v>335</v>
      </c>
      <c r="E184" t="s">
        <v>743</v>
      </c>
      <c r="F184" t="s">
        <v>336</v>
      </c>
      <c r="G184" t="s">
        <v>187</v>
      </c>
      <c r="H184" t="str">
        <f t="shared" si="5"/>
        <v>tt0231563</v>
      </c>
      <c r="I184" t="str">
        <f t="shared" si="4"/>
        <v>&lt;tr class='rowfilm'&gt;&lt;td class='film'&gt;&lt;img src=' https://m.media-amazon.com/images/M/MV5BZTllYTY0ZDctYTVjMy00ZDVjLTliNDItNGEzOThjMDcwMzFjXkEyXkFqcGdeQXVyNjgxMTQzMzI@._V1_UY209_CR7,0,140,209_AL_.jpg'&gt;&lt;/td&gt;&lt;td class='beschreibung'&gt;&lt;strong&gt;Gefährliche Straßen&lt;/strong&gt;&lt;br&gt;Jahr: 1991&lt;br&gt;Filmmusik&lt;br&gt;Rolle: Komponent&lt;br&gt;Typ: Kinofilm&lt;br&gt;&lt;a href='https://www.imdb.com/title/tt0231563/?ref_=nm_flmg_com_183'&gt;Link&lt;/a&gt;&lt;/td&gt;&lt;/tr&gt;</v>
      </c>
    </row>
    <row r="185" spans="1:9" x14ac:dyDescent="0.25">
      <c r="A185" t="s">
        <v>1012</v>
      </c>
      <c r="B185" t="s">
        <v>1</v>
      </c>
      <c r="C185" t="s">
        <v>0</v>
      </c>
      <c r="D185" t="s">
        <v>335</v>
      </c>
      <c r="E185" t="s">
        <v>743</v>
      </c>
      <c r="F185" t="s">
        <v>337</v>
      </c>
      <c r="G185" t="s">
        <v>188</v>
      </c>
      <c r="H185" t="str">
        <f t="shared" si="5"/>
        <v>tt0104682</v>
      </c>
      <c r="I185" t="str">
        <f t="shared" si="4"/>
        <v>&lt;tr class='rowfilm'&gt;&lt;td class='film'&gt;&lt;img src=' https://m.media-amazon.com/images/M/MV5BNTA4MGNkNjgtM2M1Yy00NDM2LTg1NGEtZGQ2MzM2ZGFkZmFjXkEyXkFqcGdeQXVyMzU0NzkwMDg@._V1_UX140_CR0,0,140,209_AL_.jpg'&gt;&lt;/td&gt;&lt;td class='beschreibung'&gt;&lt;strong&gt;Schattenwelt&lt;/strong&gt;&lt;br&gt;Jahr: 1991&lt;br&gt;Filmmusik&lt;br&gt;Rolle: Komponent&lt;br&gt;Typ: Kinofilm&lt;br&gt;&lt;a href='https://www.imdb.com/title/tt0104682/?ref_=nm_flmg_com_184'&gt;Link&lt;/a&gt;&lt;/td&gt;&lt;/tr&gt;</v>
      </c>
    </row>
    <row r="186" spans="1:9" x14ac:dyDescent="0.25">
      <c r="A186" t="s">
        <v>1015</v>
      </c>
      <c r="B186" t="s">
        <v>1</v>
      </c>
      <c r="C186" t="s">
        <v>0</v>
      </c>
      <c r="D186" t="s">
        <v>338</v>
      </c>
      <c r="E186" t="s">
        <v>667</v>
      </c>
      <c r="F186" t="s">
        <v>676</v>
      </c>
      <c r="G186" t="s">
        <v>189</v>
      </c>
      <c r="H186" t="str">
        <f t="shared" si="5"/>
        <v>tt1194638</v>
      </c>
      <c r="I186" t="str">
        <f t="shared" si="4"/>
        <v>&lt;tr class='rowfilm'&gt;&lt;td class='film'&gt;&lt;img src=' https://m.media-amazon.com/images/M/MV5BMzhmOTQ2NjQtMzdmOC00MTU0LTk0ODktOTM2MmE3ZmYxYjBiXkEyXkFqcGdeQXVyNjExODE1MDc@._V1_UX140_CR0,0,140,209_AL_.jpg'&gt;&lt;/td&gt;&lt;td class='beschreibung'&gt;&lt;strong&gt;Pif et Hercule&lt;/strong&gt;&lt;br&gt;Jahr: 1989&lt;br&gt;Filmmusik&lt;br&gt;Rolle: Komponent&lt;br&gt;Typ: TV Serie&lt;br&gt;&lt;a href='https://www.imdb.com/title/tt1194638/?ref_=nm_flmg_com_185'&gt;Link&lt;/a&gt;&lt;/td&gt;&lt;/tr&gt;</v>
      </c>
    </row>
    <row r="187" spans="1:9" x14ac:dyDescent="0.25">
      <c r="A187" t="s">
        <v>868</v>
      </c>
      <c r="B187" t="s">
        <v>1</v>
      </c>
      <c r="C187" t="s">
        <v>0</v>
      </c>
      <c r="D187" t="s">
        <v>339</v>
      </c>
      <c r="E187" t="s">
        <v>743</v>
      </c>
      <c r="F187" t="s">
        <v>698</v>
      </c>
      <c r="G187" t="s">
        <v>190</v>
      </c>
      <c r="H187" t="str">
        <f t="shared" si="5"/>
        <v>tt0318798</v>
      </c>
      <c r="I187" t="str">
        <f t="shared" si="4"/>
        <v>&lt;tr class='rowfilm'&gt;&lt;td class='film'&gt;&lt;img src=' https://m.media-amazon.com/images/G/01/imdb/images/nopicture/140x209/film-4001654135._CB466678728_.png'&gt;&lt;/td&gt;&lt;td class='beschreibung'&gt;&lt;strong&gt;V.O.&lt;/strong&gt;&lt;br&gt;Jahr: 1987&lt;br&gt;Filmmusik&lt;br&gt;Rolle: Komponent&lt;br&gt;Typ: Kinofilm&lt;br&gt;&lt;a href='https://www.imdb.com/title/tt0318798/?ref_=nm_flmg_com_186'&gt;Link&lt;/a&gt;&lt;/td&gt;&lt;/tr&gt;</v>
      </c>
    </row>
    <row r="188" spans="1:9" x14ac:dyDescent="0.25">
      <c r="A188" t="s">
        <v>1016</v>
      </c>
      <c r="B188" t="s">
        <v>1</v>
      </c>
      <c r="C188" t="s">
        <v>0</v>
      </c>
      <c r="D188" t="s">
        <v>340</v>
      </c>
      <c r="E188" t="s">
        <v>743</v>
      </c>
      <c r="F188" t="s">
        <v>341</v>
      </c>
      <c r="G188" t="s">
        <v>191</v>
      </c>
      <c r="H188" t="str">
        <f t="shared" si="5"/>
        <v>tt0136289</v>
      </c>
      <c r="I188" t="str">
        <f t="shared" si="4"/>
        <v>&lt;tr class='rowfilm'&gt;&lt;td class='film'&gt;&lt;img src=' https://m.media-amazon.com/images/M/MV5BMTI0MzE2NzQ3Nl5BMl5BanBnXkFtZTcwODg4NzQzMQ@@._V1_UY209_CR5,0,140,209_AL_.jpg'&gt;&lt;/td&gt;&lt;td class='beschreibung'&gt;&lt;strong&gt;Ki lo sa?&lt;/strong&gt;&lt;br&gt;Jahr: 1986&lt;br&gt;Filmmusik&lt;br&gt;Rolle: Komponent&lt;br&gt;Typ: Kinofilm&lt;br&gt;&lt;a href='https://www.imdb.com/title/tt0136289/?ref_=nm_flmg_com_187'&gt;Link&lt;/a&gt;&lt;/td&gt;&lt;/tr&gt;</v>
      </c>
    </row>
    <row r="189" spans="1:9" x14ac:dyDescent="0.25">
      <c r="A189" t="s">
        <v>868</v>
      </c>
      <c r="B189" t="s">
        <v>1</v>
      </c>
      <c r="C189" t="s">
        <v>0</v>
      </c>
      <c r="D189" t="s">
        <v>342</v>
      </c>
      <c r="E189" t="s">
        <v>743</v>
      </c>
      <c r="F189" t="s">
        <v>343</v>
      </c>
      <c r="G189" t="s">
        <v>192</v>
      </c>
      <c r="H189" t="str">
        <f t="shared" si="5"/>
        <v>tt1035937</v>
      </c>
      <c r="I189" t="str">
        <f t="shared" si="4"/>
        <v>&lt;tr class='rowfilm'&gt;&lt;td class='film'&gt;&lt;img src=' https://m.media-amazon.com/images/G/01/imdb/images/nopicture/140x209/film-4001654135._CB466678728_.png'&gt;&lt;/td&gt;&lt;td class='beschreibung'&gt;&lt;strong&gt;Le Pays de Guillaume Tell&lt;/strong&gt;&lt;br&gt;Jahr: 1985&lt;br&gt;Filmmusik&lt;br&gt;Rolle: Komponent&lt;br&gt;Typ: Kinofilm&lt;br&gt;&lt;a href='https://www.imdb.com/title/tt10359378/?ref_=nm_flmg_com_188'&gt;Link&lt;/a&gt;&lt;/td&gt;&lt;/tr&gt;</v>
      </c>
    </row>
  </sheetData>
  <autoFilter ref="B1:H189" xr:uid="{17176DD3-F4B4-41AB-8093-02818B928FE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FD5E7-FE20-4979-A365-01B06059C711}">
  <sheetPr codeName="Sheet5"/>
  <dimension ref="A1:B303"/>
  <sheetViews>
    <sheetView topLeftCell="A79" workbookViewId="0">
      <selection activeCell="A79" sqref="A1:A1048576"/>
    </sheetView>
  </sheetViews>
  <sheetFormatPr defaultRowHeight="15" x14ac:dyDescent="0.25"/>
  <sheetData>
    <row r="1" spans="1:2" x14ac:dyDescent="0.25">
      <c r="A1" t="s">
        <v>351</v>
      </c>
      <c r="B1" t="s">
        <v>349</v>
      </c>
    </row>
    <row r="2" spans="1:2" x14ac:dyDescent="0.25">
      <c r="A2" t="s">
        <v>353</v>
      </c>
      <c r="B2" t="s">
        <v>352</v>
      </c>
    </row>
    <row r="3" spans="1:2" x14ac:dyDescent="0.25">
      <c r="A3" t="s">
        <v>354</v>
      </c>
      <c r="B3" t="s">
        <v>793</v>
      </c>
    </row>
    <row r="4" spans="1:2" x14ac:dyDescent="0.25">
      <c r="A4" t="s">
        <v>355</v>
      </c>
      <c r="B4" t="s">
        <v>350</v>
      </c>
    </row>
    <row r="5" spans="1:2" x14ac:dyDescent="0.25">
      <c r="A5" t="s">
        <v>356</v>
      </c>
      <c r="B5" t="s">
        <v>350</v>
      </c>
    </row>
    <row r="6" spans="1:2" x14ac:dyDescent="0.25">
      <c r="A6" t="s">
        <v>357</v>
      </c>
      <c r="B6" t="s">
        <v>794</v>
      </c>
    </row>
    <row r="7" spans="1:2" x14ac:dyDescent="0.25">
      <c r="A7" t="s">
        <v>358</v>
      </c>
      <c r="B7" t="s">
        <v>795</v>
      </c>
    </row>
    <row r="8" spans="1:2" x14ac:dyDescent="0.25">
      <c r="A8" t="s">
        <v>359</v>
      </c>
      <c r="B8" t="s">
        <v>796</v>
      </c>
    </row>
    <row r="9" spans="1:2" x14ac:dyDescent="0.25">
      <c r="A9" t="s">
        <v>360</v>
      </c>
      <c r="B9" t="s">
        <v>797</v>
      </c>
    </row>
    <row r="10" spans="1:2" x14ac:dyDescent="0.25">
      <c r="A10" t="s">
        <v>361</v>
      </c>
      <c r="B10" t="s">
        <v>798</v>
      </c>
    </row>
    <row r="11" spans="1:2" x14ac:dyDescent="0.25">
      <c r="A11" t="s">
        <v>362</v>
      </c>
      <c r="B11" t="s">
        <v>799</v>
      </c>
    </row>
    <row r="12" spans="1:2" x14ac:dyDescent="0.25">
      <c r="A12" t="s">
        <v>363</v>
      </c>
      <c r="B12" t="s">
        <v>800</v>
      </c>
    </row>
    <row r="13" spans="1:2" x14ac:dyDescent="0.25">
      <c r="A13" t="s">
        <v>364</v>
      </c>
      <c r="B13" t="s">
        <v>801</v>
      </c>
    </row>
    <row r="14" spans="1:2" x14ac:dyDescent="0.25">
      <c r="A14" t="s">
        <v>365</v>
      </c>
      <c r="B14" t="s">
        <v>802</v>
      </c>
    </row>
    <row r="15" spans="1:2" x14ac:dyDescent="0.25">
      <c r="A15" t="s">
        <v>366</v>
      </c>
      <c r="B15" t="s">
        <v>803</v>
      </c>
    </row>
    <row r="16" spans="1:2" x14ac:dyDescent="0.25">
      <c r="A16" t="s">
        <v>367</v>
      </c>
      <c r="B16" t="s">
        <v>804</v>
      </c>
    </row>
    <row r="17" spans="1:2" x14ac:dyDescent="0.25">
      <c r="A17" t="s">
        <v>368</v>
      </c>
      <c r="B17" t="s">
        <v>805</v>
      </c>
    </row>
    <row r="18" spans="1:2" x14ac:dyDescent="0.25">
      <c r="A18" t="s">
        <v>369</v>
      </c>
      <c r="B18" t="s">
        <v>806</v>
      </c>
    </row>
    <row r="19" spans="1:2" x14ac:dyDescent="0.25">
      <c r="A19" t="s">
        <v>370</v>
      </c>
      <c r="B19" t="s">
        <v>807</v>
      </c>
    </row>
    <row r="20" spans="1:2" x14ac:dyDescent="0.25">
      <c r="A20" t="s">
        <v>371</v>
      </c>
      <c r="B20" t="s">
        <v>808</v>
      </c>
    </row>
    <row r="21" spans="1:2" x14ac:dyDescent="0.25">
      <c r="A21" t="s">
        <v>372</v>
      </c>
      <c r="B21" t="s">
        <v>350</v>
      </c>
    </row>
    <row r="22" spans="1:2" x14ac:dyDescent="0.25">
      <c r="A22" t="s">
        <v>373</v>
      </c>
      <c r="B22" t="s">
        <v>809</v>
      </c>
    </row>
    <row r="23" spans="1:2" x14ac:dyDescent="0.25">
      <c r="A23" t="s">
        <v>374</v>
      </c>
      <c r="B23" t="s">
        <v>350</v>
      </c>
    </row>
    <row r="24" spans="1:2" x14ac:dyDescent="0.25">
      <c r="A24" t="s">
        <v>375</v>
      </c>
      <c r="B24" t="s">
        <v>350</v>
      </c>
    </row>
    <row r="25" spans="1:2" x14ac:dyDescent="0.25">
      <c r="A25" t="s">
        <v>376</v>
      </c>
      <c r="B25" t="s">
        <v>350</v>
      </c>
    </row>
    <row r="26" spans="1:2" x14ac:dyDescent="0.25">
      <c r="A26" t="s">
        <v>377</v>
      </c>
      <c r="B26" t="s">
        <v>350</v>
      </c>
    </row>
    <row r="27" spans="1:2" x14ac:dyDescent="0.25">
      <c r="A27" t="s">
        <v>378</v>
      </c>
      <c r="B27" t="s">
        <v>350</v>
      </c>
    </row>
    <row r="28" spans="1:2" x14ac:dyDescent="0.25">
      <c r="A28" t="s">
        <v>379</v>
      </c>
      <c r="B28" t="s">
        <v>350</v>
      </c>
    </row>
    <row r="29" spans="1:2" x14ac:dyDescent="0.25">
      <c r="A29" t="s">
        <v>380</v>
      </c>
      <c r="B29" t="s">
        <v>810</v>
      </c>
    </row>
    <row r="30" spans="1:2" x14ac:dyDescent="0.25">
      <c r="A30" t="s">
        <v>381</v>
      </c>
      <c r="B30" t="s">
        <v>811</v>
      </c>
    </row>
    <row r="31" spans="1:2" x14ac:dyDescent="0.25">
      <c r="A31" t="s">
        <v>382</v>
      </c>
      <c r="B31" t="s">
        <v>812</v>
      </c>
    </row>
    <row r="32" spans="1:2" x14ac:dyDescent="0.25">
      <c r="A32" t="s">
        <v>383</v>
      </c>
      <c r="B32" t="s">
        <v>813</v>
      </c>
    </row>
    <row r="33" spans="1:2" x14ac:dyDescent="0.25">
      <c r="A33" t="s">
        <v>384</v>
      </c>
      <c r="B33" t="s">
        <v>814</v>
      </c>
    </row>
    <row r="34" spans="1:2" x14ac:dyDescent="0.25">
      <c r="A34" t="s">
        <v>385</v>
      </c>
      <c r="B34" t="s">
        <v>815</v>
      </c>
    </row>
    <row r="35" spans="1:2" x14ac:dyDescent="0.25">
      <c r="A35" t="s">
        <v>386</v>
      </c>
      <c r="B35" t="s">
        <v>816</v>
      </c>
    </row>
    <row r="36" spans="1:2" x14ac:dyDescent="0.25">
      <c r="A36" t="s">
        <v>387</v>
      </c>
      <c r="B36" t="s">
        <v>350</v>
      </c>
    </row>
    <row r="37" spans="1:2" x14ac:dyDescent="0.25">
      <c r="A37" t="s">
        <v>388</v>
      </c>
      <c r="B37" t="s">
        <v>350</v>
      </c>
    </row>
    <row r="38" spans="1:2" x14ac:dyDescent="0.25">
      <c r="A38" t="s">
        <v>389</v>
      </c>
      <c r="B38" t="s">
        <v>817</v>
      </c>
    </row>
    <row r="39" spans="1:2" x14ac:dyDescent="0.25">
      <c r="A39" t="s">
        <v>390</v>
      </c>
      <c r="B39" t="s">
        <v>818</v>
      </c>
    </row>
    <row r="40" spans="1:2" x14ac:dyDescent="0.25">
      <c r="A40" t="s">
        <v>391</v>
      </c>
      <c r="B40" t="s">
        <v>819</v>
      </c>
    </row>
    <row r="41" spans="1:2" x14ac:dyDescent="0.25">
      <c r="A41" t="s">
        <v>392</v>
      </c>
      <c r="B41" t="s">
        <v>820</v>
      </c>
    </row>
    <row r="42" spans="1:2" x14ac:dyDescent="0.25">
      <c r="A42" t="s">
        <v>393</v>
      </c>
      <c r="B42" t="s">
        <v>821</v>
      </c>
    </row>
    <row r="43" spans="1:2" x14ac:dyDescent="0.25">
      <c r="A43" t="s">
        <v>394</v>
      </c>
      <c r="B43" t="s">
        <v>822</v>
      </c>
    </row>
    <row r="44" spans="1:2" x14ac:dyDescent="0.25">
      <c r="A44" t="s">
        <v>395</v>
      </c>
      <c r="B44" t="s">
        <v>823</v>
      </c>
    </row>
    <row r="45" spans="1:2" x14ac:dyDescent="0.25">
      <c r="A45" t="s">
        <v>396</v>
      </c>
      <c r="B45" t="s">
        <v>824</v>
      </c>
    </row>
    <row r="46" spans="1:2" x14ac:dyDescent="0.25">
      <c r="A46" t="s">
        <v>397</v>
      </c>
      <c r="B46" t="s">
        <v>825</v>
      </c>
    </row>
    <row r="47" spans="1:2" x14ac:dyDescent="0.25">
      <c r="A47" t="s">
        <v>398</v>
      </c>
      <c r="B47" t="s">
        <v>826</v>
      </c>
    </row>
    <row r="48" spans="1:2" x14ac:dyDescent="0.25">
      <c r="A48" t="s">
        <v>399</v>
      </c>
      <c r="B48" t="s">
        <v>827</v>
      </c>
    </row>
    <row r="49" spans="1:2" x14ac:dyDescent="0.25">
      <c r="A49" t="s">
        <v>400</v>
      </c>
      <c r="B49" t="s">
        <v>828</v>
      </c>
    </row>
    <row r="50" spans="1:2" x14ac:dyDescent="0.25">
      <c r="A50" t="s">
        <v>401</v>
      </c>
      <c r="B50" t="s">
        <v>829</v>
      </c>
    </row>
    <row r="51" spans="1:2" x14ac:dyDescent="0.25">
      <c r="A51" t="s">
        <v>402</v>
      </c>
      <c r="B51" t="s">
        <v>348</v>
      </c>
    </row>
    <row r="52" spans="1:2" x14ac:dyDescent="0.25">
      <c r="A52" t="s">
        <v>404</v>
      </c>
      <c r="B52" t="s">
        <v>403</v>
      </c>
    </row>
    <row r="53" spans="1:2" x14ac:dyDescent="0.25">
      <c r="A53" t="s">
        <v>405</v>
      </c>
      <c r="B53" t="s">
        <v>830</v>
      </c>
    </row>
    <row r="54" spans="1:2" x14ac:dyDescent="0.25">
      <c r="A54" t="s">
        <v>406</v>
      </c>
      <c r="B54" t="s">
        <v>831</v>
      </c>
    </row>
    <row r="55" spans="1:2" x14ac:dyDescent="0.25">
      <c r="A55" t="s">
        <v>407</v>
      </c>
      <c r="B55" t="s">
        <v>832</v>
      </c>
    </row>
    <row r="56" spans="1:2" x14ac:dyDescent="0.25">
      <c r="A56" t="s">
        <v>408</v>
      </c>
      <c r="B56" t="s">
        <v>833</v>
      </c>
    </row>
    <row r="57" spans="1:2" x14ac:dyDescent="0.25">
      <c r="A57" t="s">
        <v>409</v>
      </c>
      <c r="B57" t="s">
        <v>834</v>
      </c>
    </row>
    <row r="58" spans="1:2" x14ac:dyDescent="0.25">
      <c r="A58" t="s">
        <v>410</v>
      </c>
      <c r="B58" t="s">
        <v>835</v>
      </c>
    </row>
    <row r="59" spans="1:2" x14ac:dyDescent="0.25">
      <c r="A59" t="s">
        <v>411</v>
      </c>
      <c r="B59" t="s">
        <v>350</v>
      </c>
    </row>
    <row r="60" spans="1:2" x14ac:dyDescent="0.25">
      <c r="A60" t="s">
        <v>412</v>
      </c>
      <c r="B60" t="s">
        <v>836</v>
      </c>
    </row>
    <row r="61" spans="1:2" x14ac:dyDescent="0.25">
      <c r="A61" t="s">
        <v>413</v>
      </c>
      <c r="B61" t="s">
        <v>837</v>
      </c>
    </row>
    <row r="62" spans="1:2" x14ac:dyDescent="0.25">
      <c r="A62" t="s">
        <v>414</v>
      </c>
      <c r="B62" t="s">
        <v>350</v>
      </c>
    </row>
    <row r="63" spans="1:2" x14ac:dyDescent="0.25">
      <c r="A63" t="s">
        <v>415</v>
      </c>
      <c r="B63" t="s">
        <v>838</v>
      </c>
    </row>
    <row r="64" spans="1:2" x14ac:dyDescent="0.25">
      <c r="A64" t="s">
        <v>416</v>
      </c>
      <c r="B64" t="s">
        <v>350</v>
      </c>
    </row>
    <row r="65" spans="1:2" x14ac:dyDescent="0.25">
      <c r="A65" t="s">
        <v>417</v>
      </c>
      <c r="B65" t="s">
        <v>350</v>
      </c>
    </row>
    <row r="66" spans="1:2" x14ac:dyDescent="0.25">
      <c r="A66" t="s">
        <v>418</v>
      </c>
      <c r="B66" t="s">
        <v>350</v>
      </c>
    </row>
    <row r="67" spans="1:2" x14ac:dyDescent="0.25">
      <c r="A67" t="s">
        <v>419</v>
      </c>
      <c r="B67" t="s">
        <v>839</v>
      </c>
    </row>
    <row r="68" spans="1:2" x14ac:dyDescent="0.25">
      <c r="A68" t="s">
        <v>420</v>
      </c>
      <c r="B68" t="s">
        <v>840</v>
      </c>
    </row>
    <row r="69" spans="1:2" x14ac:dyDescent="0.25">
      <c r="A69" t="s">
        <v>421</v>
      </c>
      <c r="B69" t="s">
        <v>841</v>
      </c>
    </row>
    <row r="70" spans="1:2" x14ac:dyDescent="0.25">
      <c r="A70" t="s">
        <v>422</v>
      </c>
      <c r="B70" t="s">
        <v>842</v>
      </c>
    </row>
    <row r="71" spans="1:2" x14ac:dyDescent="0.25">
      <c r="A71" t="s">
        <v>423</v>
      </c>
      <c r="B71" t="s">
        <v>843</v>
      </c>
    </row>
    <row r="72" spans="1:2" x14ac:dyDescent="0.25">
      <c r="A72" t="s">
        <v>424</v>
      </c>
      <c r="B72" t="s">
        <v>844</v>
      </c>
    </row>
    <row r="73" spans="1:2" x14ac:dyDescent="0.25">
      <c r="A73" t="s">
        <v>425</v>
      </c>
      <c r="B73" t="s">
        <v>845</v>
      </c>
    </row>
    <row r="74" spans="1:2" x14ac:dyDescent="0.25">
      <c r="A74" t="s">
        <v>426</v>
      </c>
      <c r="B74" t="s">
        <v>846</v>
      </c>
    </row>
    <row r="75" spans="1:2" x14ac:dyDescent="0.25">
      <c r="A75" t="s">
        <v>427</v>
      </c>
      <c r="B75" t="s">
        <v>847</v>
      </c>
    </row>
    <row r="76" spans="1:2" x14ac:dyDescent="0.25">
      <c r="A76" t="s">
        <v>428</v>
      </c>
      <c r="B76" t="s">
        <v>848</v>
      </c>
    </row>
    <row r="77" spans="1:2" x14ac:dyDescent="0.25">
      <c r="A77" t="s">
        <v>429</v>
      </c>
      <c r="B77" t="s">
        <v>849</v>
      </c>
    </row>
    <row r="78" spans="1:2" x14ac:dyDescent="0.25">
      <c r="A78" t="s">
        <v>430</v>
      </c>
      <c r="B78" t="s">
        <v>350</v>
      </c>
    </row>
    <row r="79" spans="1:2" x14ac:dyDescent="0.25">
      <c r="A79" t="s">
        <v>431</v>
      </c>
      <c r="B79" t="s">
        <v>350</v>
      </c>
    </row>
    <row r="80" spans="1:2" x14ac:dyDescent="0.25">
      <c r="A80" t="s">
        <v>432</v>
      </c>
      <c r="B80" t="s">
        <v>850</v>
      </c>
    </row>
    <row r="81" spans="1:2" x14ac:dyDescent="0.25">
      <c r="A81" t="s">
        <v>433</v>
      </c>
      <c r="B81" t="s">
        <v>851</v>
      </c>
    </row>
    <row r="82" spans="1:2" x14ac:dyDescent="0.25">
      <c r="A82" t="s">
        <v>434</v>
      </c>
      <c r="B82" t="s">
        <v>852</v>
      </c>
    </row>
    <row r="83" spans="1:2" x14ac:dyDescent="0.25">
      <c r="A83" t="s">
        <v>435</v>
      </c>
      <c r="B83" t="s">
        <v>853</v>
      </c>
    </row>
    <row r="84" spans="1:2" x14ac:dyDescent="0.25">
      <c r="A84" t="s">
        <v>436</v>
      </c>
      <c r="B84" t="s">
        <v>854</v>
      </c>
    </row>
    <row r="85" spans="1:2" x14ac:dyDescent="0.25">
      <c r="A85" t="s">
        <v>437</v>
      </c>
      <c r="B85" t="s">
        <v>855</v>
      </c>
    </row>
    <row r="86" spans="1:2" x14ac:dyDescent="0.25">
      <c r="A86" t="s">
        <v>438</v>
      </c>
      <c r="B86" t="s">
        <v>856</v>
      </c>
    </row>
    <row r="87" spans="1:2" x14ac:dyDescent="0.25">
      <c r="A87" t="s">
        <v>439</v>
      </c>
      <c r="B87" t="s">
        <v>857</v>
      </c>
    </row>
    <row r="88" spans="1:2" x14ac:dyDescent="0.25">
      <c r="A88" t="s">
        <v>440</v>
      </c>
      <c r="B88" t="s">
        <v>350</v>
      </c>
    </row>
    <row r="89" spans="1:2" x14ac:dyDescent="0.25">
      <c r="A89" t="s">
        <v>441</v>
      </c>
      <c r="B89" t="s">
        <v>858</v>
      </c>
    </row>
    <row r="90" spans="1:2" x14ac:dyDescent="0.25">
      <c r="A90" t="s">
        <v>442</v>
      </c>
      <c r="B90" t="s">
        <v>350</v>
      </c>
    </row>
    <row r="91" spans="1:2" x14ac:dyDescent="0.25">
      <c r="A91" t="s">
        <v>443</v>
      </c>
      <c r="B91" t="s">
        <v>350</v>
      </c>
    </row>
    <row r="92" spans="1:2" x14ac:dyDescent="0.25">
      <c r="A92" t="s">
        <v>444</v>
      </c>
      <c r="B92" t="s">
        <v>859</v>
      </c>
    </row>
    <row r="93" spans="1:2" x14ac:dyDescent="0.25">
      <c r="A93" t="s">
        <v>445</v>
      </c>
      <c r="B93" t="s">
        <v>860</v>
      </c>
    </row>
    <row r="94" spans="1:2" x14ac:dyDescent="0.25">
      <c r="A94" t="s">
        <v>446</v>
      </c>
      <c r="B94" t="s">
        <v>861</v>
      </c>
    </row>
    <row r="95" spans="1:2" x14ac:dyDescent="0.25">
      <c r="A95" t="s">
        <v>447</v>
      </c>
      <c r="B95" t="s">
        <v>862</v>
      </c>
    </row>
    <row r="96" spans="1:2" x14ac:dyDescent="0.25">
      <c r="A96" t="s">
        <v>448</v>
      </c>
      <c r="B96" t="s">
        <v>863</v>
      </c>
    </row>
    <row r="97" spans="1:2" x14ac:dyDescent="0.25">
      <c r="A97" t="s">
        <v>449</v>
      </c>
      <c r="B97" t="s">
        <v>864</v>
      </c>
    </row>
    <row r="98" spans="1:2" x14ac:dyDescent="0.25">
      <c r="A98" t="s">
        <v>450</v>
      </c>
      <c r="B98" t="s">
        <v>865</v>
      </c>
    </row>
    <row r="99" spans="1:2" x14ac:dyDescent="0.25">
      <c r="A99" t="s">
        <v>451</v>
      </c>
      <c r="B99" t="s">
        <v>866</v>
      </c>
    </row>
    <row r="100" spans="1:2" x14ac:dyDescent="0.25">
      <c r="A100" t="s">
        <v>452</v>
      </c>
      <c r="B100" t="s">
        <v>867</v>
      </c>
    </row>
    <row r="101" spans="1:2" x14ac:dyDescent="0.25">
      <c r="A101" t="s">
        <v>453</v>
      </c>
      <c r="B101" t="s">
        <v>868</v>
      </c>
    </row>
    <row r="102" spans="1:2" x14ac:dyDescent="0.25">
      <c r="A102" t="s">
        <v>454</v>
      </c>
      <c r="B102" t="s">
        <v>868</v>
      </c>
    </row>
    <row r="103" spans="1:2" x14ac:dyDescent="0.25">
      <c r="A103" t="s">
        <v>455</v>
      </c>
      <c r="B103" t="s">
        <v>868</v>
      </c>
    </row>
    <row r="104" spans="1:2" x14ac:dyDescent="0.25">
      <c r="A104" t="s">
        <v>456</v>
      </c>
      <c r="B104" t="s">
        <v>869</v>
      </c>
    </row>
    <row r="105" spans="1:2" x14ac:dyDescent="0.25">
      <c r="A105" t="s">
        <v>457</v>
      </c>
      <c r="B105" t="s">
        <v>870</v>
      </c>
    </row>
    <row r="106" spans="1:2" x14ac:dyDescent="0.25">
      <c r="A106" t="s">
        <v>458</v>
      </c>
      <c r="B106" t="s">
        <v>868</v>
      </c>
    </row>
    <row r="107" spans="1:2" x14ac:dyDescent="0.25">
      <c r="A107" t="s">
        <v>459</v>
      </c>
      <c r="B107" t="s">
        <v>871</v>
      </c>
    </row>
    <row r="108" spans="1:2" x14ac:dyDescent="0.25">
      <c r="A108" t="s">
        <v>460</v>
      </c>
      <c r="B108" t="s">
        <v>872</v>
      </c>
    </row>
    <row r="109" spans="1:2" x14ac:dyDescent="0.25">
      <c r="A109" t="s">
        <v>461</v>
      </c>
      <c r="B109" t="s">
        <v>873</v>
      </c>
    </row>
    <row r="110" spans="1:2" x14ac:dyDescent="0.25">
      <c r="A110" t="s">
        <v>462</v>
      </c>
      <c r="B110" t="s">
        <v>874</v>
      </c>
    </row>
    <row r="111" spans="1:2" x14ac:dyDescent="0.25">
      <c r="A111" t="s">
        <v>463</v>
      </c>
      <c r="B111" t="s">
        <v>875</v>
      </c>
    </row>
    <row r="112" spans="1:2" x14ac:dyDescent="0.25">
      <c r="A112" t="s">
        <v>464</v>
      </c>
      <c r="B112" t="s">
        <v>876</v>
      </c>
    </row>
    <row r="113" spans="1:2" x14ac:dyDescent="0.25">
      <c r="A113" t="s">
        <v>465</v>
      </c>
      <c r="B113" t="s">
        <v>877</v>
      </c>
    </row>
    <row r="114" spans="1:2" x14ac:dyDescent="0.25">
      <c r="A114" t="s">
        <v>466</v>
      </c>
      <c r="B114" t="s">
        <v>878</v>
      </c>
    </row>
    <row r="115" spans="1:2" x14ac:dyDescent="0.25">
      <c r="A115" t="s">
        <v>467</v>
      </c>
      <c r="B115" t="s">
        <v>879</v>
      </c>
    </row>
    <row r="116" spans="1:2" x14ac:dyDescent="0.25">
      <c r="A116" t="s">
        <v>468</v>
      </c>
      <c r="B116" t="s">
        <v>880</v>
      </c>
    </row>
    <row r="117" spans="1:2" x14ac:dyDescent="0.25">
      <c r="A117" t="s">
        <v>469</v>
      </c>
      <c r="B117" t="s">
        <v>881</v>
      </c>
    </row>
    <row r="118" spans="1:2" x14ac:dyDescent="0.25">
      <c r="A118" t="s">
        <v>470</v>
      </c>
      <c r="B118" t="s">
        <v>882</v>
      </c>
    </row>
    <row r="119" spans="1:2" x14ac:dyDescent="0.25">
      <c r="A119" t="s">
        <v>471</v>
      </c>
      <c r="B119" t="s">
        <v>883</v>
      </c>
    </row>
    <row r="120" spans="1:2" x14ac:dyDescent="0.25">
      <c r="A120" t="s">
        <v>472</v>
      </c>
      <c r="B120" t="s">
        <v>884</v>
      </c>
    </row>
    <row r="121" spans="1:2" x14ac:dyDescent="0.25">
      <c r="A121" t="s">
        <v>473</v>
      </c>
      <c r="B121" t="s">
        <v>885</v>
      </c>
    </row>
    <row r="122" spans="1:2" x14ac:dyDescent="0.25">
      <c r="A122" t="s">
        <v>474</v>
      </c>
      <c r="B122" t="s">
        <v>886</v>
      </c>
    </row>
    <row r="123" spans="1:2" x14ac:dyDescent="0.25">
      <c r="A123" t="s">
        <v>475</v>
      </c>
      <c r="B123" t="s">
        <v>887</v>
      </c>
    </row>
    <row r="124" spans="1:2" x14ac:dyDescent="0.25">
      <c r="A124" t="s">
        <v>476</v>
      </c>
      <c r="B124" t="s">
        <v>888</v>
      </c>
    </row>
    <row r="125" spans="1:2" x14ac:dyDescent="0.25">
      <c r="A125" t="s">
        <v>477</v>
      </c>
      <c r="B125" t="s">
        <v>889</v>
      </c>
    </row>
    <row r="126" spans="1:2" x14ac:dyDescent="0.25">
      <c r="A126" t="s">
        <v>478</v>
      </c>
      <c r="B126" t="s">
        <v>890</v>
      </c>
    </row>
    <row r="127" spans="1:2" x14ac:dyDescent="0.25">
      <c r="A127" t="s">
        <v>479</v>
      </c>
      <c r="B127" t="s">
        <v>891</v>
      </c>
    </row>
    <row r="128" spans="1:2" x14ac:dyDescent="0.25">
      <c r="A128" t="s">
        <v>480</v>
      </c>
      <c r="B128" t="s">
        <v>892</v>
      </c>
    </row>
    <row r="129" spans="1:2" x14ac:dyDescent="0.25">
      <c r="A129" t="s">
        <v>481</v>
      </c>
      <c r="B129" t="s">
        <v>893</v>
      </c>
    </row>
    <row r="130" spans="1:2" x14ac:dyDescent="0.25">
      <c r="A130" t="s">
        <v>482</v>
      </c>
      <c r="B130" t="s">
        <v>894</v>
      </c>
    </row>
    <row r="131" spans="1:2" x14ac:dyDescent="0.25">
      <c r="A131" t="s">
        <v>483</v>
      </c>
      <c r="B131" t="s">
        <v>895</v>
      </c>
    </row>
    <row r="132" spans="1:2" x14ac:dyDescent="0.25">
      <c r="A132" t="s">
        <v>484</v>
      </c>
      <c r="B132" t="s">
        <v>896</v>
      </c>
    </row>
    <row r="133" spans="1:2" x14ac:dyDescent="0.25">
      <c r="A133" t="s">
        <v>485</v>
      </c>
      <c r="B133" t="s">
        <v>897</v>
      </c>
    </row>
    <row r="134" spans="1:2" x14ac:dyDescent="0.25">
      <c r="A134" t="s">
        <v>486</v>
      </c>
      <c r="B134" t="s">
        <v>898</v>
      </c>
    </row>
    <row r="135" spans="1:2" x14ac:dyDescent="0.25">
      <c r="A135" t="s">
        <v>487</v>
      </c>
      <c r="B135" t="s">
        <v>868</v>
      </c>
    </row>
    <row r="136" spans="1:2" x14ac:dyDescent="0.25">
      <c r="A136" t="s">
        <v>488</v>
      </c>
      <c r="B136" t="s">
        <v>899</v>
      </c>
    </row>
    <row r="137" spans="1:2" x14ac:dyDescent="0.25">
      <c r="A137" t="s">
        <v>489</v>
      </c>
      <c r="B137" t="s">
        <v>868</v>
      </c>
    </row>
    <row r="138" spans="1:2" x14ac:dyDescent="0.25">
      <c r="A138" t="s">
        <v>490</v>
      </c>
      <c r="B138" t="s">
        <v>900</v>
      </c>
    </row>
    <row r="139" spans="1:2" x14ac:dyDescent="0.25">
      <c r="A139" t="s">
        <v>491</v>
      </c>
      <c r="B139" t="s">
        <v>868</v>
      </c>
    </row>
    <row r="140" spans="1:2" x14ac:dyDescent="0.25">
      <c r="A140" t="s">
        <v>492</v>
      </c>
      <c r="B140" t="s">
        <v>901</v>
      </c>
    </row>
    <row r="141" spans="1:2" x14ac:dyDescent="0.25">
      <c r="A141" t="s">
        <v>493</v>
      </c>
      <c r="B141" t="s">
        <v>902</v>
      </c>
    </row>
    <row r="142" spans="1:2" x14ac:dyDescent="0.25">
      <c r="A142" t="s">
        <v>494</v>
      </c>
      <c r="B142" t="s">
        <v>903</v>
      </c>
    </row>
    <row r="143" spans="1:2" x14ac:dyDescent="0.25">
      <c r="A143" t="s">
        <v>495</v>
      </c>
      <c r="B143" t="s">
        <v>904</v>
      </c>
    </row>
    <row r="144" spans="1:2" x14ac:dyDescent="0.25">
      <c r="A144" t="s">
        <v>496</v>
      </c>
      <c r="B144" t="s">
        <v>905</v>
      </c>
    </row>
    <row r="145" spans="1:2" x14ac:dyDescent="0.25">
      <c r="A145" t="s">
        <v>497</v>
      </c>
      <c r="B145" t="s">
        <v>906</v>
      </c>
    </row>
    <row r="146" spans="1:2" x14ac:dyDescent="0.25">
      <c r="A146" t="s">
        <v>498</v>
      </c>
      <c r="B146" t="s">
        <v>907</v>
      </c>
    </row>
    <row r="147" spans="1:2" x14ac:dyDescent="0.25">
      <c r="A147" t="s">
        <v>499</v>
      </c>
      <c r="B147" t="s">
        <v>868</v>
      </c>
    </row>
    <row r="148" spans="1:2" x14ac:dyDescent="0.25">
      <c r="A148" t="s">
        <v>500</v>
      </c>
      <c r="B148" t="s">
        <v>908</v>
      </c>
    </row>
    <row r="149" spans="1:2" x14ac:dyDescent="0.25">
      <c r="A149" t="s">
        <v>501</v>
      </c>
      <c r="B149" t="s">
        <v>868</v>
      </c>
    </row>
    <row r="150" spans="1:2" x14ac:dyDescent="0.25">
      <c r="A150" t="s">
        <v>502</v>
      </c>
      <c r="B150" t="s">
        <v>909</v>
      </c>
    </row>
    <row r="151" spans="1:2" x14ac:dyDescent="0.25">
      <c r="A151" t="s">
        <v>503</v>
      </c>
      <c r="B151" t="s">
        <v>910</v>
      </c>
    </row>
    <row r="152" spans="1:2" x14ac:dyDescent="0.25">
      <c r="A152" t="s">
        <v>504</v>
      </c>
      <c r="B152" t="s">
        <v>911</v>
      </c>
    </row>
    <row r="153" spans="1:2" x14ac:dyDescent="0.25">
      <c r="A153" t="s">
        <v>505</v>
      </c>
      <c r="B153" t="s">
        <v>912</v>
      </c>
    </row>
    <row r="154" spans="1:2" x14ac:dyDescent="0.25">
      <c r="A154" t="s">
        <v>506</v>
      </c>
      <c r="B154" t="s">
        <v>913</v>
      </c>
    </row>
    <row r="155" spans="1:2" x14ac:dyDescent="0.25">
      <c r="A155" t="s">
        <v>507</v>
      </c>
      <c r="B155" t="s">
        <v>914</v>
      </c>
    </row>
    <row r="156" spans="1:2" x14ac:dyDescent="0.25">
      <c r="A156" t="s">
        <v>508</v>
      </c>
      <c r="B156" t="s">
        <v>915</v>
      </c>
    </row>
    <row r="157" spans="1:2" x14ac:dyDescent="0.25">
      <c r="A157" t="s">
        <v>509</v>
      </c>
      <c r="B157" t="s">
        <v>916</v>
      </c>
    </row>
    <row r="158" spans="1:2" x14ac:dyDescent="0.25">
      <c r="A158" t="s">
        <v>510</v>
      </c>
      <c r="B158" t="s">
        <v>917</v>
      </c>
    </row>
    <row r="159" spans="1:2" x14ac:dyDescent="0.25">
      <c r="A159" t="s">
        <v>511</v>
      </c>
      <c r="B159" t="s">
        <v>918</v>
      </c>
    </row>
    <row r="160" spans="1:2" x14ac:dyDescent="0.25">
      <c r="A160" t="s">
        <v>512</v>
      </c>
      <c r="B160" t="s">
        <v>919</v>
      </c>
    </row>
    <row r="161" spans="1:2" x14ac:dyDescent="0.25">
      <c r="A161" t="s">
        <v>513</v>
      </c>
      <c r="B161" t="s">
        <v>868</v>
      </c>
    </row>
    <row r="162" spans="1:2" x14ac:dyDescent="0.25">
      <c r="A162" t="s">
        <v>514</v>
      </c>
      <c r="B162" t="s">
        <v>920</v>
      </c>
    </row>
    <row r="163" spans="1:2" x14ac:dyDescent="0.25">
      <c r="A163" t="s">
        <v>515</v>
      </c>
      <c r="B163" t="s">
        <v>921</v>
      </c>
    </row>
    <row r="164" spans="1:2" x14ac:dyDescent="0.25">
      <c r="A164" t="s">
        <v>516</v>
      </c>
      <c r="B164" t="s">
        <v>922</v>
      </c>
    </row>
    <row r="165" spans="1:2" x14ac:dyDescent="0.25">
      <c r="A165" t="s">
        <v>517</v>
      </c>
      <c r="B165" t="s">
        <v>923</v>
      </c>
    </row>
    <row r="166" spans="1:2" x14ac:dyDescent="0.25">
      <c r="A166" t="s">
        <v>518</v>
      </c>
      <c r="B166" t="s">
        <v>924</v>
      </c>
    </row>
    <row r="167" spans="1:2" x14ac:dyDescent="0.25">
      <c r="A167" t="s">
        <v>519</v>
      </c>
      <c r="B167" t="s">
        <v>868</v>
      </c>
    </row>
    <row r="168" spans="1:2" x14ac:dyDescent="0.25">
      <c r="A168" t="s">
        <v>520</v>
      </c>
      <c r="B168" t="s">
        <v>868</v>
      </c>
    </row>
    <row r="169" spans="1:2" x14ac:dyDescent="0.25">
      <c r="A169" t="s">
        <v>521</v>
      </c>
      <c r="B169" t="s">
        <v>925</v>
      </c>
    </row>
    <row r="170" spans="1:2" x14ac:dyDescent="0.25">
      <c r="A170" t="s">
        <v>522</v>
      </c>
      <c r="B170" t="s">
        <v>926</v>
      </c>
    </row>
    <row r="171" spans="1:2" x14ac:dyDescent="0.25">
      <c r="A171" t="s">
        <v>523</v>
      </c>
      <c r="B171" t="s">
        <v>927</v>
      </c>
    </row>
    <row r="172" spans="1:2" x14ac:dyDescent="0.25">
      <c r="A172" t="s">
        <v>524</v>
      </c>
      <c r="B172" t="s">
        <v>928</v>
      </c>
    </row>
    <row r="173" spans="1:2" x14ac:dyDescent="0.25">
      <c r="A173" t="s">
        <v>525</v>
      </c>
      <c r="B173" t="s">
        <v>929</v>
      </c>
    </row>
    <row r="174" spans="1:2" x14ac:dyDescent="0.25">
      <c r="A174" t="s">
        <v>526</v>
      </c>
      <c r="B174" t="s">
        <v>868</v>
      </c>
    </row>
    <row r="175" spans="1:2" x14ac:dyDescent="0.25">
      <c r="A175" t="s">
        <v>527</v>
      </c>
      <c r="B175" t="s">
        <v>930</v>
      </c>
    </row>
    <row r="176" spans="1:2" x14ac:dyDescent="0.25">
      <c r="A176" t="s">
        <v>528</v>
      </c>
      <c r="B176" t="s">
        <v>931</v>
      </c>
    </row>
    <row r="177" spans="1:2" x14ac:dyDescent="0.25">
      <c r="A177" t="s">
        <v>529</v>
      </c>
      <c r="B177" t="s">
        <v>932</v>
      </c>
    </row>
    <row r="178" spans="1:2" x14ac:dyDescent="0.25">
      <c r="A178" t="s">
        <v>530</v>
      </c>
      <c r="B178" t="s">
        <v>933</v>
      </c>
    </row>
    <row r="179" spans="1:2" x14ac:dyDescent="0.25">
      <c r="A179" t="s">
        <v>531</v>
      </c>
      <c r="B179" t="s">
        <v>934</v>
      </c>
    </row>
    <row r="180" spans="1:2" x14ac:dyDescent="0.25">
      <c r="A180" t="s">
        <v>532</v>
      </c>
      <c r="B180" t="s">
        <v>935</v>
      </c>
    </row>
    <row r="181" spans="1:2" x14ac:dyDescent="0.25">
      <c r="A181" t="s">
        <v>533</v>
      </c>
      <c r="B181" t="s">
        <v>936</v>
      </c>
    </row>
    <row r="182" spans="1:2" x14ac:dyDescent="0.25">
      <c r="A182" t="s">
        <v>534</v>
      </c>
      <c r="B182" t="s">
        <v>937</v>
      </c>
    </row>
    <row r="183" spans="1:2" x14ac:dyDescent="0.25">
      <c r="A183" t="s">
        <v>535</v>
      </c>
      <c r="B183" t="s">
        <v>938</v>
      </c>
    </row>
    <row r="184" spans="1:2" x14ac:dyDescent="0.25">
      <c r="A184" t="s">
        <v>536</v>
      </c>
      <c r="B184" t="s">
        <v>939</v>
      </c>
    </row>
    <row r="185" spans="1:2" x14ac:dyDescent="0.25">
      <c r="A185" t="s">
        <v>537</v>
      </c>
      <c r="B185" t="s">
        <v>940</v>
      </c>
    </row>
    <row r="186" spans="1:2" x14ac:dyDescent="0.25">
      <c r="A186" t="s">
        <v>538</v>
      </c>
      <c r="B186" t="s">
        <v>941</v>
      </c>
    </row>
    <row r="187" spans="1:2" x14ac:dyDescent="0.25">
      <c r="A187" t="s">
        <v>539</v>
      </c>
      <c r="B187" t="s">
        <v>868</v>
      </c>
    </row>
    <row r="188" spans="1:2" x14ac:dyDescent="0.25">
      <c r="A188" t="s">
        <v>540</v>
      </c>
      <c r="B188" t="s">
        <v>942</v>
      </c>
    </row>
    <row r="189" spans="1:2" x14ac:dyDescent="0.25">
      <c r="A189" t="s">
        <v>541</v>
      </c>
      <c r="B189" t="s">
        <v>943</v>
      </c>
    </row>
    <row r="190" spans="1:2" x14ac:dyDescent="0.25">
      <c r="A190" t="s">
        <v>542</v>
      </c>
      <c r="B190" t="s">
        <v>944</v>
      </c>
    </row>
    <row r="191" spans="1:2" x14ac:dyDescent="0.25">
      <c r="A191" t="s">
        <v>543</v>
      </c>
      <c r="B191" t="s">
        <v>945</v>
      </c>
    </row>
    <row r="192" spans="1:2" x14ac:dyDescent="0.25">
      <c r="A192" t="s">
        <v>544</v>
      </c>
      <c r="B192" t="s">
        <v>946</v>
      </c>
    </row>
    <row r="193" spans="1:2" x14ac:dyDescent="0.25">
      <c r="A193" t="s">
        <v>545</v>
      </c>
      <c r="B193" t="s">
        <v>947</v>
      </c>
    </row>
    <row r="194" spans="1:2" x14ac:dyDescent="0.25">
      <c r="A194" t="s">
        <v>546</v>
      </c>
      <c r="B194" t="s">
        <v>948</v>
      </c>
    </row>
    <row r="195" spans="1:2" x14ac:dyDescent="0.25">
      <c r="A195" t="s">
        <v>547</v>
      </c>
      <c r="B195" t="s">
        <v>949</v>
      </c>
    </row>
    <row r="196" spans="1:2" x14ac:dyDescent="0.25">
      <c r="A196" t="s">
        <v>548</v>
      </c>
      <c r="B196" t="s">
        <v>950</v>
      </c>
    </row>
    <row r="197" spans="1:2" x14ac:dyDescent="0.25">
      <c r="A197" t="s">
        <v>549</v>
      </c>
      <c r="B197" t="s">
        <v>951</v>
      </c>
    </row>
    <row r="198" spans="1:2" x14ac:dyDescent="0.25">
      <c r="A198" t="s">
        <v>550</v>
      </c>
      <c r="B198" t="s">
        <v>952</v>
      </c>
    </row>
    <row r="199" spans="1:2" x14ac:dyDescent="0.25">
      <c r="A199" t="s">
        <v>551</v>
      </c>
      <c r="B199" t="s">
        <v>953</v>
      </c>
    </row>
    <row r="200" spans="1:2" x14ac:dyDescent="0.25">
      <c r="A200" t="s">
        <v>552</v>
      </c>
      <c r="B200" t="s">
        <v>954</v>
      </c>
    </row>
    <row r="201" spans="1:2" x14ac:dyDescent="0.25">
      <c r="A201" t="s">
        <v>553</v>
      </c>
      <c r="B201" t="s">
        <v>868</v>
      </c>
    </row>
    <row r="202" spans="1:2" x14ac:dyDescent="0.25">
      <c r="A202" t="s">
        <v>554</v>
      </c>
      <c r="B202" t="s">
        <v>868</v>
      </c>
    </row>
    <row r="203" spans="1:2" x14ac:dyDescent="0.25">
      <c r="A203" t="s">
        <v>555</v>
      </c>
      <c r="B203" t="s">
        <v>955</v>
      </c>
    </row>
    <row r="204" spans="1:2" x14ac:dyDescent="0.25">
      <c r="A204" t="s">
        <v>556</v>
      </c>
      <c r="B204" t="s">
        <v>956</v>
      </c>
    </row>
    <row r="205" spans="1:2" x14ac:dyDescent="0.25">
      <c r="A205" t="s">
        <v>557</v>
      </c>
      <c r="B205" t="s">
        <v>957</v>
      </c>
    </row>
    <row r="206" spans="1:2" x14ac:dyDescent="0.25">
      <c r="A206" t="s">
        <v>558</v>
      </c>
      <c r="B206" t="s">
        <v>958</v>
      </c>
    </row>
    <row r="207" spans="1:2" x14ac:dyDescent="0.25">
      <c r="A207" t="s">
        <v>559</v>
      </c>
      <c r="B207" t="s">
        <v>959</v>
      </c>
    </row>
    <row r="208" spans="1:2" x14ac:dyDescent="0.25">
      <c r="A208" t="s">
        <v>560</v>
      </c>
      <c r="B208" t="s">
        <v>960</v>
      </c>
    </row>
    <row r="209" spans="1:2" x14ac:dyDescent="0.25">
      <c r="A209" t="s">
        <v>561</v>
      </c>
      <c r="B209" t="s">
        <v>868</v>
      </c>
    </row>
    <row r="210" spans="1:2" x14ac:dyDescent="0.25">
      <c r="A210" t="s">
        <v>562</v>
      </c>
      <c r="B210" t="s">
        <v>961</v>
      </c>
    </row>
    <row r="211" spans="1:2" x14ac:dyDescent="0.25">
      <c r="A211" t="s">
        <v>563</v>
      </c>
      <c r="B211" t="s">
        <v>868</v>
      </c>
    </row>
    <row r="212" spans="1:2" x14ac:dyDescent="0.25">
      <c r="A212" t="s">
        <v>564</v>
      </c>
      <c r="B212" t="s">
        <v>962</v>
      </c>
    </row>
    <row r="213" spans="1:2" x14ac:dyDescent="0.25">
      <c r="A213" t="s">
        <v>565</v>
      </c>
      <c r="B213" t="s">
        <v>963</v>
      </c>
    </row>
    <row r="214" spans="1:2" x14ac:dyDescent="0.25">
      <c r="A214" t="s">
        <v>566</v>
      </c>
      <c r="B214" t="s">
        <v>964</v>
      </c>
    </row>
    <row r="215" spans="1:2" x14ac:dyDescent="0.25">
      <c r="A215" t="s">
        <v>567</v>
      </c>
      <c r="B215" t="s">
        <v>965</v>
      </c>
    </row>
    <row r="216" spans="1:2" x14ac:dyDescent="0.25">
      <c r="A216" t="s">
        <v>568</v>
      </c>
      <c r="B216" t="s">
        <v>966</v>
      </c>
    </row>
    <row r="217" spans="1:2" x14ac:dyDescent="0.25">
      <c r="A217" t="s">
        <v>569</v>
      </c>
      <c r="B217" t="s">
        <v>868</v>
      </c>
    </row>
    <row r="218" spans="1:2" x14ac:dyDescent="0.25">
      <c r="A218" t="s">
        <v>570</v>
      </c>
      <c r="B218" t="s">
        <v>967</v>
      </c>
    </row>
    <row r="219" spans="1:2" x14ac:dyDescent="0.25">
      <c r="A219" t="s">
        <v>571</v>
      </c>
      <c r="B219" t="s">
        <v>868</v>
      </c>
    </row>
    <row r="220" spans="1:2" x14ac:dyDescent="0.25">
      <c r="A220" t="s">
        <v>572</v>
      </c>
      <c r="B220" t="s">
        <v>868</v>
      </c>
    </row>
    <row r="221" spans="1:2" x14ac:dyDescent="0.25">
      <c r="A221" t="s">
        <v>573</v>
      </c>
      <c r="B221" t="s">
        <v>868</v>
      </c>
    </row>
    <row r="222" spans="1:2" x14ac:dyDescent="0.25">
      <c r="A222" t="s">
        <v>574</v>
      </c>
      <c r="B222" t="s">
        <v>868</v>
      </c>
    </row>
    <row r="223" spans="1:2" x14ac:dyDescent="0.25">
      <c r="A223" t="s">
        <v>575</v>
      </c>
      <c r="B223" t="s">
        <v>968</v>
      </c>
    </row>
    <row r="224" spans="1:2" x14ac:dyDescent="0.25">
      <c r="A224" t="s">
        <v>576</v>
      </c>
      <c r="B224" t="s">
        <v>969</v>
      </c>
    </row>
    <row r="225" spans="1:2" x14ac:dyDescent="0.25">
      <c r="A225" t="s">
        <v>577</v>
      </c>
      <c r="B225" t="s">
        <v>970</v>
      </c>
    </row>
    <row r="226" spans="1:2" x14ac:dyDescent="0.25">
      <c r="A226" t="s">
        <v>578</v>
      </c>
      <c r="B226" t="s">
        <v>971</v>
      </c>
    </row>
    <row r="227" spans="1:2" x14ac:dyDescent="0.25">
      <c r="A227" t="s">
        <v>579</v>
      </c>
      <c r="B227" t="s">
        <v>972</v>
      </c>
    </row>
    <row r="228" spans="1:2" x14ac:dyDescent="0.25">
      <c r="A228" t="s">
        <v>580</v>
      </c>
      <c r="B228" t="s">
        <v>973</v>
      </c>
    </row>
    <row r="229" spans="1:2" x14ac:dyDescent="0.25">
      <c r="A229" t="s">
        <v>581</v>
      </c>
      <c r="B229" t="s">
        <v>974</v>
      </c>
    </row>
    <row r="230" spans="1:2" x14ac:dyDescent="0.25">
      <c r="A230" t="s">
        <v>582</v>
      </c>
      <c r="B230" t="s">
        <v>975</v>
      </c>
    </row>
    <row r="231" spans="1:2" x14ac:dyDescent="0.25">
      <c r="A231" t="s">
        <v>583</v>
      </c>
      <c r="B231" t="s">
        <v>868</v>
      </c>
    </row>
    <row r="232" spans="1:2" x14ac:dyDescent="0.25">
      <c r="A232" t="s">
        <v>584</v>
      </c>
      <c r="B232" t="s">
        <v>976</v>
      </c>
    </row>
    <row r="233" spans="1:2" x14ac:dyDescent="0.25">
      <c r="A233" t="s">
        <v>585</v>
      </c>
      <c r="B233" t="s">
        <v>977</v>
      </c>
    </row>
    <row r="234" spans="1:2" x14ac:dyDescent="0.25">
      <c r="A234" t="s">
        <v>586</v>
      </c>
      <c r="B234" t="s">
        <v>978</v>
      </c>
    </row>
    <row r="235" spans="1:2" x14ac:dyDescent="0.25">
      <c r="A235" t="s">
        <v>587</v>
      </c>
      <c r="B235" t="s">
        <v>979</v>
      </c>
    </row>
    <row r="236" spans="1:2" x14ac:dyDescent="0.25">
      <c r="A236" t="s">
        <v>588</v>
      </c>
      <c r="B236" t="s">
        <v>980</v>
      </c>
    </row>
    <row r="237" spans="1:2" x14ac:dyDescent="0.25">
      <c r="A237" t="s">
        <v>589</v>
      </c>
      <c r="B237" t="s">
        <v>981</v>
      </c>
    </row>
    <row r="238" spans="1:2" x14ac:dyDescent="0.25">
      <c r="A238" t="s">
        <v>590</v>
      </c>
      <c r="B238" t="s">
        <v>982</v>
      </c>
    </row>
    <row r="239" spans="1:2" x14ac:dyDescent="0.25">
      <c r="A239" t="s">
        <v>591</v>
      </c>
      <c r="B239" t="s">
        <v>983</v>
      </c>
    </row>
    <row r="240" spans="1:2" x14ac:dyDescent="0.25">
      <c r="A240" t="s">
        <v>592</v>
      </c>
      <c r="B240" t="s">
        <v>984</v>
      </c>
    </row>
    <row r="241" spans="1:2" x14ac:dyDescent="0.25">
      <c r="A241" t="s">
        <v>593</v>
      </c>
      <c r="B241" t="s">
        <v>868</v>
      </c>
    </row>
    <row r="242" spans="1:2" x14ac:dyDescent="0.25">
      <c r="A242" t="s">
        <v>594</v>
      </c>
      <c r="B242" t="s">
        <v>868</v>
      </c>
    </row>
    <row r="243" spans="1:2" x14ac:dyDescent="0.25">
      <c r="A243" t="s">
        <v>595</v>
      </c>
      <c r="B243" t="s">
        <v>868</v>
      </c>
    </row>
    <row r="244" spans="1:2" x14ac:dyDescent="0.25">
      <c r="A244" t="s">
        <v>596</v>
      </c>
      <c r="B244" t="s">
        <v>868</v>
      </c>
    </row>
    <row r="245" spans="1:2" x14ac:dyDescent="0.25">
      <c r="A245" t="s">
        <v>597</v>
      </c>
      <c r="B245" t="s">
        <v>985</v>
      </c>
    </row>
    <row r="246" spans="1:2" x14ac:dyDescent="0.25">
      <c r="A246" t="s">
        <v>598</v>
      </c>
      <c r="B246" t="s">
        <v>986</v>
      </c>
    </row>
    <row r="247" spans="1:2" x14ac:dyDescent="0.25">
      <c r="A247" t="s">
        <v>599</v>
      </c>
      <c r="B247" t="s">
        <v>987</v>
      </c>
    </row>
    <row r="248" spans="1:2" x14ac:dyDescent="0.25">
      <c r="A248" t="s">
        <v>600</v>
      </c>
      <c r="B248" t="s">
        <v>988</v>
      </c>
    </row>
    <row r="249" spans="1:2" x14ac:dyDescent="0.25">
      <c r="A249" t="s">
        <v>601</v>
      </c>
      <c r="B249" t="s">
        <v>989</v>
      </c>
    </row>
    <row r="250" spans="1:2" x14ac:dyDescent="0.25">
      <c r="A250" t="s">
        <v>602</v>
      </c>
      <c r="B250" t="s">
        <v>990</v>
      </c>
    </row>
    <row r="251" spans="1:2" x14ac:dyDescent="0.25">
      <c r="A251" t="s">
        <v>603</v>
      </c>
      <c r="B251" t="s">
        <v>991</v>
      </c>
    </row>
    <row r="252" spans="1:2" x14ac:dyDescent="0.25">
      <c r="A252" t="s">
        <v>604</v>
      </c>
      <c r="B252" t="s">
        <v>992</v>
      </c>
    </row>
    <row r="253" spans="1:2" x14ac:dyDescent="0.25">
      <c r="A253" t="s">
        <v>605</v>
      </c>
      <c r="B253" t="s">
        <v>868</v>
      </c>
    </row>
    <row r="254" spans="1:2" x14ac:dyDescent="0.25">
      <c r="A254" t="s">
        <v>606</v>
      </c>
      <c r="B254" t="s">
        <v>868</v>
      </c>
    </row>
    <row r="255" spans="1:2" x14ac:dyDescent="0.25">
      <c r="A255" t="s">
        <v>607</v>
      </c>
      <c r="B255" t="s">
        <v>993</v>
      </c>
    </row>
    <row r="256" spans="1:2" x14ac:dyDescent="0.25">
      <c r="A256" t="s">
        <v>608</v>
      </c>
      <c r="B256" t="s">
        <v>994</v>
      </c>
    </row>
    <row r="257" spans="1:2" x14ac:dyDescent="0.25">
      <c r="A257" t="s">
        <v>609</v>
      </c>
      <c r="B257" t="s">
        <v>995</v>
      </c>
    </row>
    <row r="258" spans="1:2" x14ac:dyDescent="0.25">
      <c r="A258" t="s">
        <v>610</v>
      </c>
      <c r="B258" t="s">
        <v>996</v>
      </c>
    </row>
    <row r="259" spans="1:2" x14ac:dyDescent="0.25">
      <c r="A259" t="s">
        <v>611</v>
      </c>
      <c r="B259" t="s">
        <v>997</v>
      </c>
    </row>
    <row r="260" spans="1:2" x14ac:dyDescent="0.25">
      <c r="A260" t="s">
        <v>612</v>
      </c>
      <c r="B260" t="s">
        <v>868</v>
      </c>
    </row>
    <row r="261" spans="1:2" x14ac:dyDescent="0.25">
      <c r="A261" t="s">
        <v>613</v>
      </c>
      <c r="B261" t="s">
        <v>868</v>
      </c>
    </row>
    <row r="262" spans="1:2" x14ac:dyDescent="0.25">
      <c r="A262" t="s">
        <v>614</v>
      </c>
      <c r="B262" t="s">
        <v>868</v>
      </c>
    </row>
    <row r="263" spans="1:2" x14ac:dyDescent="0.25">
      <c r="A263" t="s">
        <v>615</v>
      </c>
      <c r="B263" t="s">
        <v>868</v>
      </c>
    </row>
    <row r="264" spans="1:2" x14ac:dyDescent="0.25">
      <c r="A264" t="s">
        <v>616</v>
      </c>
      <c r="B264" t="s">
        <v>868</v>
      </c>
    </row>
    <row r="265" spans="1:2" x14ac:dyDescent="0.25">
      <c r="A265" t="s">
        <v>617</v>
      </c>
      <c r="B265" t="s">
        <v>998</v>
      </c>
    </row>
    <row r="266" spans="1:2" x14ac:dyDescent="0.25">
      <c r="A266" t="s">
        <v>618</v>
      </c>
      <c r="B266" t="s">
        <v>868</v>
      </c>
    </row>
    <row r="267" spans="1:2" x14ac:dyDescent="0.25">
      <c r="A267" t="s">
        <v>619</v>
      </c>
      <c r="B267" t="s">
        <v>999</v>
      </c>
    </row>
    <row r="268" spans="1:2" x14ac:dyDescent="0.25">
      <c r="A268" t="s">
        <v>620</v>
      </c>
      <c r="B268" t="s">
        <v>1000</v>
      </c>
    </row>
    <row r="269" spans="1:2" x14ac:dyDescent="0.25">
      <c r="A269" t="s">
        <v>621</v>
      </c>
      <c r="B269" t="s">
        <v>1001</v>
      </c>
    </row>
    <row r="270" spans="1:2" x14ac:dyDescent="0.25">
      <c r="A270" t="s">
        <v>622</v>
      </c>
      <c r="B270" t="s">
        <v>1002</v>
      </c>
    </row>
    <row r="271" spans="1:2" x14ac:dyDescent="0.25">
      <c r="A271" t="s">
        <v>623</v>
      </c>
      <c r="B271" t="s">
        <v>1003</v>
      </c>
    </row>
    <row r="272" spans="1:2" x14ac:dyDescent="0.25">
      <c r="A272" t="s">
        <v>624</v>
      </c>
      <c r="B272" t="s">
        <v>868</v>
      </c>
    </row>
    <row r="273" spans="1:2" x14ac:dyDescent="0.25">
      <c r="A273" t="s">
        <v>625</v>
      </c>
      <c r="B273" t="s">
        <v>868</v>
      </c>
    </row>
    <row r="274" spans="1:2" x14ac:dyDescent="0.25">
      <c r="A274" t="s">
        <v>626</v>
      </c>
      <c r="B274" t="s">
        <v>868</v>
      </c>
    </row>
    <row r="275" spans="1:2" x14ac:dyDescent="0.25">
      <c r="A275" t="s">
        <v>627</v>
      </c>
      <c r="B275" t="s">
        <v>1004</v>
      </c>
    </row>
    <row r="276" spans="1:2" x14ac:dyDescent="0.25">
      <c r="A276" t="s">
        <v>628</v>
      </c>
      <c r="B276" t="s">
        <v>1005</v>
      </c>
    </row>
    <row r="277" spans="1:2" x14ac:dyDescent="0.25">
      <c r="A277" t="s">
        <v>629</v>
      </c>
      <c r="B277" t="s">
        <v>868</v>
      </c>
    </row>
    <row r="278" spans="1:2" x14ac:dyDescent="0.25">
      <c r="A278" t="s">
        <v>630</v>
      </c>
      <c r="B278" t="s">
        <v>868</v>
      </c>
    </row>
    <row r="279" spans="1:2" x14ac:dyDescent="0.25">
      <c r="A279" t="s">
        <v>631</v>
      </c>
      <c r="B279" t="s">
        <v>1006</v>
      </c>
    </row>
    <row r="280" spans="1:2" x14ac:dyDescent="0.25">
      <c r="A280" t="s">
        <v>632</v>
      </c>
      <c r="B280" t="s">
        <v>868</v>
      </c>
    </row>
    <row r="281" spans="1:2" x14ac:dyDescent="0.25">
      <c r="A281" t="s">
        <v>633</v>
      </c>
      <c r="B281" t="s">
        <v>1007</v>
      </c>
    </row>
    <row r="282" spans="1:2" x14ac:dyDescent="0.25">
      <c r="A282" t="s">
        <v>634</v>
      </c>
      <c r="B282" t="s">
        <v>1008</v>
      </c>
    </row>
    <row r="283" spans="1:2" x14ac:dyDescent="0.25">
      <c r="A283" t="s">
        <v>635</v>
      </c>
      <c r="B283" t="s">
        <v>868</v>
      </c>
    </row>
    <row r="284" spans="1:2" x14ac:dyDescent="0.25">
      <c r="A284" t="s">
        <v>636</v>
      </c>
      <c r="B284" t="s">
        <v>868</v>
      </c>
    </row>
    <row r="285" spans="1:2" x14ac:dyDescent="0.25">
      <c r="A285" t="s">
        <v>637</v>
      </c>
      <c r="B285" t="s">
        <v>1009</v>
      </c>
    </row>
    <row r="286" spans="1:2" x14ac:dyDescent="0.25">
      <c r="A286" t="s">
        <v>638</v>
      </c>
      <c r="B286" t="s">
        <v>868</v>
      </c>
    </row>
    <row r="287" spans="1:2" x14ac:dyDescent="0.25">
      <c r="A287" t="s">
        <v>639</v>
      </c>
      <c r="B287" t="s">
        <v>1010</v>
      </c>
    </row>
    <row r="288" spans="1:2" x14ac:dyDescent="0.25">
      <c r="A288" t="s">
        <v>640</v>
      </c>
      <c r="B288" t="s">
        <v>1011</v>
      </c>
    </row>
    <row r="289" spans="1:2" x14ac:dyDescent="0.25">
      <c r="A289" t="s">
        <v>641</v>
      </c>
      <c r="B289" t="s">
        <v>1012</v>
      </c>
    </row>
    <row r="290" spans="1:2" x14ac:dyDescent="0.25">
      <c r="A290" t="s">
        <v>642</v>
      </c>
      <c r="B290" t="s">
        <v>1013</v>
      </c>
    </row>
    <row r="291" spans="1:2" x14ac:dyDescent="0.25">
      <c r="A291" t="s">
        <v>643</v>
      </c>
      <c r="B291" t="s">
        <v>868</v>
      </c>
    </row>
    <row r="292" spans="1:2" x14ac:dyDescent="0.25">
      <c r="A292" t="s">
        <v>644</v>
      </c>
      <c r="B292" t="s">
        <v>868</v>
      </c>
    </row>
    <row r="293" spans="1:2" x14ac:dyDescent="0.25">
      <c r="A293" t="s">
        <v>645</v>
      </c>
      <c r="B293" t="s">
        <v>868</v>
      </c>
    </row>
    <row r="294" spans="1:2" x14ac:dyDescent="0.25">
      <c r="A294" t="s">
        <v>646</v>
      </c>
      <c r="B294" t="s">
        <v>868</v>
      </c>
    </row>
    <row r="295" spans="1:2" x14ac:dyDescent="0.25">
      <c r="A295" t="s">
        <v>647</v>
      </c>
      <c r="B295" t="s">
        <v>1014</v>
      </c>
    </row>
    <row r="296" spans="1:2" x14ac:dyDescent="0.25">
      <c r="A296" t="s">
        <v>648</v>
      </c>
      <c r="B296" t="s">
        <v>1015</v>
      </c>
    </row>
    <row r="297" spans="1:2" x14ac:dyDescent="0.25">
      <c r="A297" t="s">
        <v>649</v>
      </c>
      <c r="B297" t="s">
        <v>868</v>
      </c>
    </row>
    <row r="298" spans="1:2" x14ac:dyDescent="0.25">
      <c r="A298" t="s">
        <v>650</v>
      </c>
      <c r="B298" t="s">
        <v>868</v>
      </c>
    </row>
    <row r="299" spans="1:2" x14ac:dyDescent="0.25">
      <c r="A299" t="s">
        <v>651</v>
      </c>
      <c r="B299" t="s">
        <v>1016</v>
      </c>
    </row>
    <row r="300" spans="1:2" x14ac:dyDescent="0.25">
      <c r="A300" t="s">
        <v>652</v>
      </c>
      <c r="B300" t="s">
        <v>868</v>
      </c>
    </row>
    <row r="301" spans="1:2" x14ac:dyDescent="0.25">
      <c r="A301" t="s">
        <v>653</v>
      </c>
      <c r="B301" t="s">
        <v>1017</v>
      </c>
    </row>
    <row r="302" spans="1:2" x14ac:dyDescent="0.25">
      <c r="A302" t="s">
        <v>654</v>
      </c>
      <c r="B302" t="s">
        <v>1018</v>
      </c>
    </row>
    <row r="303" spans="1:2" x14ac:dyDescent="0.25">
      <c r="A303" t="s">
        <v>655</v>
      </c>
      <c r="B303" t="s">
        <v>1019</v>
      </c>
    </row>
  </sheetData>
  <autoFilter ref="A1:B303" xr:uid="{BDA48B04-B75E-42EB-B586-D8078915160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283-9D21-400F-BEFC-56F79B5E940F}">
  <sheetPr codeName="Sheet4"/>
  <dimension ref="A1:G53"/>
  <sheetViews>
    <sheetView tabSelected="1" topLeftCell="A15" workbookViewId="0">
      <selection activeCell="G2" sqref="G2:G53"/>
    </sheetView>
  </sheetViews>
  <sheetFormatPr defaultRowHeight="15" x14ac:dyDescent="0.25"/>
  <cols>
    <col min="2" max="2" width="6.140625" bestFit="1" customWidth="1"/>
    <col min="3" max="3" width="36.42578125" bestFit="1" customWidth="1"/>
    <col min="4" max="4" width="14.140625" bestFit="1" customWidth="1"/>
    <col min="5" max="5" width="78.5703125" customWidth="1"/>
    <col min="6" max="6" width="30.7109375" bestFit="1" customWidth="1"/>
  </cols>
  <sheetData>
    <row r="1" spans="1:7" x14ac:dyDescent="0.25">
      <c r="B1" t="s">
        <v>747</v>
      </c>
      <c r="C1" t="s">
        <v>746</v>
      </c>
      <c r="D1" t="s">
        <v>2</v>
      </c>
      <c r="E1" t="s">
        <v>748</v>
      </c>
      <c r="F1" t="s">
        <v>767</v>
      </c>
    </row>
    <row r="2" spans="1:7" x14ac:dyDescent="0.25">
      <c r="A2" t="str">
        <f>+IF(B2&lt;&gt;B3,B2,"")</f>
        <v>1997</v>
      </c>
      <c r="B2" t="s">
        <v>314</v>
      </c>
      <c r="C2" t="s">
        <v>666</v>
      </c>
      <c r="D2" t="s">
        <v>1262</v>
      </c>
      <c r="E2" t="s">
        <v>764</v>
      </c>
      <c r="F2" t="s">
        <v>792</v>
      </c>
      <c r="G2" t="str">
        <f>+"&lt;tr&gt;&lt;td clas='year'&gt;"&amp;A2&amp;"&lt;/td&gt;&lt;td&gt;"&amp;C2 &amp;": "&amp;D2 &amp;" für " &amp;E2&amp;"&lt;/td&gt;&lt;/tr&gt;"</f>
        <v>&lt;tr&gt;&lt;td clas='year'&gt;1997&lt;/td&gt;&lt;td&gt;César: Nominiert für Das Leben: Eine Lüge&lt;/td&gt;&lt;/tr&gt;</v>
      </c>
    </row>
    <row r="3" spans="1:7" x14ac:dyDescent="0.25">
      <c r="A3" t="str">
        <f t="shared" ref="A3:A53" si="0">+IF(B3&lt;&gt;B4,B3,"")</f>
        <v>2002</v>
      </c>
      <c r="B3" t="s">
        <v>290</v>
      </c>
      <c r="C3" t="s">
        <v>666</v>
      </c>
      <c r="D3" t="s">
        <v>1262</v>
      </c>
      <c r="E3" t="s">
        <v>765</v>
      </c>
      <c r="F3" t="s">
        <v>791</v>
      </c>
      <c r="G3" t="str">
        <f t="shared" ref="G3:G53" si="1">+"&lt;tr&gt;&lt;td clas='year'&gt;"&amp;A3&amp;"&lt;/td&gt;&lt;td&gt;"&amp;C3 &amp;": "&amp;D3 &amp;" für " &amp;E3&amp;"&lt;/td&gt;&lt;/tr&gt;"</f>
        <v>&lt;tr&gt;&lt;td clas='year'&gt;2002&lt;/td&gt;&lt;td&gt;César: Nominiert für Lippenbekenntnisse&lt;/td&gt;&lt;/tr&gt;</v>
      </c>
    </row>
    <row r="4" spans="1:7" x14ac:dyDescent="0.25">
      <c r="A4" t="str">
        <f t="shared" si="0"/>
        <v/>
      </c>
      <c r="B4" t="s">
        <v>279</v>
      </c>
      <c r="C4" t="s">
        <v>664</v>
      </c>
      <c r="D4" t="s">
        <v>1262</v>
      </c>
      <c r="E4" t="s">
        <v>750</v>
      </c>
      <c r="F4" t="s">
        <v>768</v>
      </c>
      <c r="G4" t="str">
        <f t="shared" si="1"/>
        <v>&lt;tr&gt;&lt;td clas='year'&gt;&lt;/td&gt;&lt;td&gt;Golden Globe Award: Nominiert für Das Mädchen mit dem Perlenohrring&lt;/td&gt;&lt;/tr&gt;</v>
      </c>
    </row>
    <row r="5" spans="1:7" x14ac:dyDescent="0.25">
      <c r="A5" t="str">
        <f t="shared" si="0"/>
        <v/>
      </c>
      <c r="B5" t="s">
        <v>279</v>
      </c>
      <c r="C5" t="s">
        <v>665</v>
      </c>
      <c r="D5" t="s">
        <v>1262</v>
      </c>
      <c r="E5" t="s">
        <v>750</v>
      </c>
      <c r="F5" t="s">
        <v>768</v>
      </c>
      <c r="G5" t="str">
        <f t="shared" si="1"/>
        <v>&lt;tr&gt;&lt;td clas='year'&gt;&lt;/td&gt;&lt;td&gt;British Academy Film Award: Nominiert für Das Mädchen mit dem Perlenohrring&lt;/td&gt;&lt;/tr&gt;</v>
      </c>
    </row>
    <row r="6" spans="1:7" x14ac:dyDescent="0.25">
      <c r="A6" t="str">
        <f t="shared" si="0"/>
        <v>2004</v>
      </c>
      <c r="B6" t="s">
        <v>279</v>
      </c>
      <c r="C6" t="s">
        <v>660</v>
      </c>
      <c r="D6" t="s">
        <v>1262</v>
      </c>
      <c r="E6" t="s">
        <v>750</v>
      </c>
      <c r="F6" t="s">
        <v>768</v>
      </c>
      <c r="G6" t="str">
        <f t="shared" si="1"/>
        <v>&lt;tr&gt;&lt;td clas='year'&gt;2004&lt;/td&gt;&lt;td&gt;Europäischer Filmpreis: Nominiert für Das Mädchen mit dem Perlenohrring&lt;/td&gt;&lt;/tr&gt;</v>
      </c>
    </row>
    <row r="7" spans="1:7" x14ac:dyDescent="0.25">
      <c r="A7" t="str">
        <f t="shared" si="0"/>
        <v>2005</v>
      </c>
      <c r="B7" t="s">
        <v>271</v>
      </c>
      <c r="C7" t="s">
        <v>657</v>
      </c>
      <c r="D7" t="s">
        <v>745</v>
      </c>
      <c r="E7" t="s">
        <v>276</v>
      </c>
      <c r="F7" t="s">
        <v>778</v>
      </c>
      <c r="G7" t="str">
        <f t="shared" si="1"/>
        <v>&lt;tr&gt;&lt;td clas='year'&gt;2005&lt;/td&gt;&lt;td&gt;Internationale Filmfestspiele Berlin: Silberner Bär  für Der wilde Schlag meines Herzens&lt;/td&gt;&lt;/tr&gt;</v>
      </c>
    </row>
    <row r="8" spans="1:7" x14ac:dyDescent="0.25">
      <c r="A8" t="str">
        <f t="shared" si="0"/>
        <v/>
      </c>
      <c r="B8" t="s">
        <v>265</v>
      </c>
      <c r="C8" t="s">
        <v>664</v>
      </c>
      <c r="D8" t="s">
        <v>1262</v>
      </c>
      <c r="E8" t="s">
        <v>272</v>
      </c>
      <c r="F8" t="s">
        <v>780</v>
      </c>
      <c r="G8" t="str">
        <f t="shared" si="1"/>
        <v>&lt;tr&gt;&lt;td clas='year'&gt;&lt;/td&gt;&lt;td&gt;Golden Globe Award: Nominiert für Syriana&lt;/td&gt;&lt;/tr&gt;</v>
      </c>
    </row>
    <row r="9" spans="1:7" x14ac:dyDescent="0.25">
      <c r="A9" t="str">
        <f t="shared" si="0"/>
        <v/>
      </c>
      <c r="B9" t="s">
        <v>265</v>
      </c>
      <c r="C9" t="s">
        <v>666</v>
      </c>
      <c r="D9" t="s">
        <v>744</v>
      </c>
      <c r="E9" t="s">
        <v>749</v>
      </c>
      <c r="F9" t="s">
        <v>778</v>
      </c>
      <c r="G9" t="str">
        <f t="shared" si="1"/>
        <v>&lt;tr&gt;&lt;td clas='year'&gt;&lt;/td&gt;&lt;td&gt;César: Ausgezeichnet für Der Wilde Schlag meines Herzens&lt;/td&gt;&lt;/tr&gt;</v>
      </c>
    </row>
    <row r="10" spans="1:7" x14ac:dyDescent="0.25">
      <c r="A10" t="str">
        <f t="shared" si="0"/>
        <v/>
      </c>
      <c r="B10" t="s">
        <v>265</v>
      </c>
      <c r="C10" t="s">
        <v>658</v>
      </c>
      <c r="D10" t="s">
        <v>1262</v>
      </c>
      <c r="E10" t="s">
        <v>267</v>
      </c>
      <c r="F10" t="s">
        <v>779</v>
      </c>
      <c r="G10" t="str">
        <f t="shared" si="1"/>
        <v>&lt;tr&gt;&lt;td clas='year'&gt;&lt;/td&gt;&lt;td&gt;Chicago Film Critics Association Awards: Nominiert für Die Queen&lt;/td&gt;&lt;/tr&gt;</v>
      </c>
    </row>
    <row r="11" spans="1:7" x14ac:dyDescent="0.25">
      <c r="A11" t="str">
        <f t="shared" si="0"/>
        <v/>
      </c>
      <c r="B11" t="s">
        <v>265</v>
      </c>
      <c r="C11" t="s">
        <v>659</v>
      </c>
      <c r="D11" t="s">
        <v>744</v>
      </c>
      <c r="E11" t="s">
        <v>749</v>
      </c>
      <c r="F11" t="s">
        <v>778</v>
      </c>
      <c r="G11" t="str">
        <f t="shared" si="1"/>
        <v>&lt;tr&gt;&lt;td clas='year'&gt;&lt;/td&gt;&lt;td&gt;Étoile d’Or: Ausgezeichnet für Der Wilde Schlag meines Herzens&lt;/td&gt;&lt;/tr&gt;</v>
      </c>
    </row>
    <row r="12" spans="1:7" x14ac:dyDescent="0.25">
      <c r="A12" t="str">
        <f t="shared" si="0"/>
        <v>2006</v>
      </c>
      <c r="B12" t="s">
        <v>265</v>
      </c>
      <c r="C12" t="s">
        <v>661</v>
      </c>
      <c r="D12" t="s">
        <v>744</v>
      </c>
      <c r="E12" t="s">
        <v>753</v>
      </c>
      <c r="F12" t="s">
        <v>778</v>
      </c>
      <c r="G12" t="str">
        <f t="shared" si="1"/>
        <v>&lt;tr&gt;&lt;td clas='year'&gt;2006&lt;/td&gt;&lt;td&gt;Los Angeles Film Critics Association: Ausgezeichnet für Der bunte Schleier und Die Queen&lt;/td&gt;&lt;/tr&gt;</v>
      </c>
    </row>
    <row r="13" spans="1:7" x14ac:dyDescent="0.25">
      <c r="A13" t="str">
        <f t="shared" si="0"/>
        <v/>
      </c>
      <c r="B13" t="s">
        <v>261</v>
      </c>
      <c r="C13" t="s">
        <v>663</v>
      </c>
      <c r="D13" t="s">
        <v>1262</v>
      </c>
      <c r="E13" t="s">
        <v>267</v>
      </c>
      <c r="F13" t="s">
        <v>779</v>
      </c>
      <c r="G13" t="str">
        <f t="shared" si="1"/>
        <v>&lt;tr&gt;&lt;td clas='year'&gt;&lt;/td&gt;&lt;td&gt;Oscar: Nominiert für Die Queen&lt;/td&gt;&lt;/tr&gt;</v>
      </c>
    </row>
    <row r="14" spans="1:7" x14ac:dyDescent="0.25">
      <c r="A14" t="str">
        <f t="shared" si="0"/>
        <v/>
      </c>
      <c r="B14" t="s">
        <v>261</v>
      </c>
      <c r="C14" t="s">
        <v>664</v>
      </c>
      <c r="D14" t="s">
        <v>744</v>
      </c>
      <c r="E14" t="s">
        <v>266</v>
      </c>
      <c r="F14" t="s">
        <v>781</v>
      </c>
      <c r="G14" t="str">
        <f t="shared" si="1"/>
        <v>&lt;tr&gt;&lt;td clas='year'&gt;&lt;/td&gt;&lt;td&gt;Golden Globe Award: Ausgezeichnet für Der bunte Schleier&lt;/td&gt;&lt;/tr&gt;</v>
      </c>
    </row>
    <row r="15" spans="1:7" x14ac:dyDescent="0.25">
      <c r="A15" t="str">
        <f t="shared" si="0"/>
        <v/>
      </c>
      <c r="B15" t="s">
        <v>261</v>
      </c>
      <c r="C15" t="s">
        <v>665</v>
      </c>
      <c r="D15" t="s">
        <v>1262</v>
      </c>
      <c r="E15" t="s">
        <v>267</v>
      </c>
      <c r="F15" t="s">
        <v>779</v>
      </c>
      <c r="G15" t="str">
        <f t="shared" si="1"/>
        <v>&lt;tr&gt;&lt;td clas='year'&gt;&lt;/td&gt;&lt;td&gt;British Academy Film Award: Nominiert für Die Queen&lt;/td&gt;&lt;/tr&gt;</v>
      </c>
    </row>
    <row r="16" spans="1:7" x14ac:dyDescent="0.25">
      <c r="A16" t="str">
        <f t="shared" si="0"/>
        <v/>
      </c>
      <c r="B16" t="s">
        <v>261</v>
      </c>
      <c r="C16" t="s">
        <v>660</v>
      </c>
      <c r="D16" t="s">
        <v>744</v>
      </c>
      <c r="E16" t="s">
        <v>267</v>
      </c>
      <c r="F16" t="s">
        <v>779</v>
      </c>
      <c r="G16" t="str">
        <f t="shared" si="1"/>
        <v>&lt;tr&gt;&lt;td clas='year'&gt;&lt;/td&gt;&lt;td&gt;Europäischer Filmpreis: Ausgezeichnet für Die Queen&lt;/td&gt;&lt;/tr&gt;</v>
      </c>
    </row>
    <row r="17" spans="1:7" x14ac:dyDescent="0.25">
      <c r="A17" t="str">
        <f t="shared" si="0"/>
        <v>2007</v>
      </c>
      <c r="B17" t="s">
        <v>261</v>
      </c>
      <c r="C17" t="s">
        <v>662</v>
      </c>
      <c r="D17" t="s">
        <v>744</v>
      </c>
      <c r="E17" t="s">
        <v>754</v>
      </c>
      <c r="F17" t="s">
        <v>781</v>
      </c>
      <c r="G17" t="str">
        <f t="shared" si="1"/>
        <v>&lt;tr&gt;&lt;td clas='year'&gt;2007&lt;/td&gt;&lt;td&gt;World Soundtrack Award: Ausgezeichnet für Die Queen und Der bunte Schleier&lt;/td&gt;&lt;/tr&gt;</v>
      </c>
    </row>
    <row r="18" spans="1:7" x14ac:dyDescent="0.25">
      <c r="A18" t="str">
        <f t="shared" si="0"/>
        <v/>
      </c>
      <c r="B18" t="s">
        <v>257</v>
      </c>
      <c r="C18" t="s">
        <v>666</v>
      </c>
      <c r="D18" t="s">
        <v>1262</v>
      </c>
      <c r="E18" t="s">
        <v>766</v>
      </c>
      <c r="F18" t="s">
        <v>790</v>
      </c>
      <c r="G18" t="str">
        <f t="shared" si="1"/>
        <v>&lt;tr&gt;&lt;td clas='year'&gt;&lt;/td&gt;&lt;td&gt;César: Nominiert für Der Feind in den eigenen Reihen – Intimate Enemies&lt;/td&gt;&lt;/tr&gt;</v>
      </c>
    </row>
    <row r="19" spans="1:7" x14ac:dyDescent="0.25">
      <c r="A19" t="str">
        <f t="shared" si="0"/>
        <v>2008</v>
      </c>
      <c r="B19" t="s">
        <v>257</v>
      </c>
      <c r="C19" t="s">
        <v>662</v>
      </c>
      <c r="D19" t="s">
        <v>1262</v>
      </c>
      <c r="E19" t="s">
        <v>755</v>
      </c>
      <c r="F19" t="s">
        <v>782</v>
      </c>
      <c r="G19" t="str">
        <f t="shared" si="1"/>
        <v>&lt;tr&gt;&lt;td clas='year'&gt;2008&lt;/td&gt;&lt;td&gt;World Soundtrack Award: Nominiert für Der Goldene Kompass&lt;/td&gt;&lt;/tr&gt;</v>
      </c>
    </row>
    <row r="20" spans="1:7" x14ac:dyDescent="0.25">
      <c r="A20" t="str">
        <f t="shared" si="0"/>
        <v/>
      </c>
      <c r="B20" t="s">
        <v>250</v>
      </c>
      <c r="C20" t="s">
        <v>663</v>
      </c>
      <c r="D20" t="s">
        <v>1262</v>
      </c>
      <c r="E20" t="s">
        <v>258</v>
      </c>
      <c r="F20" t="s">
        <v>773</v>
      </c>
      <c r="G20" t="str">
        <f t="shared" si="1"/>
        <v>&lt;tr&gt;&lt;td clas='year'&gt;&lt;/td&gt;&lt;td&gt;Oscar: Nominiert für Der seltsame Fall des Benjamin Button&lt;/td&gt;&lt;/tr&gt;</v>
      </c>
    </row>
    <row r="21" spans="1:7" x14ac:dyDescent="0.25">
      <c r="A21" t="str">
        <f t="shared" si="0"/>
        <v/>
      </c>
      <c r="B21" t="s">
        <v>250</v>
      </c>
      <c r="C21" t="s">
        <v>664</v>
      </c>
      <c r="D21" t="s">
        <v>1262</v>
      </c>
      <c r="E21" t="s">
        <v>258</v>
      </c>
      <c r="F21" t="s">
        <v>773</v>
      </c>
      <c r="G21" t="str">
        <f t="shared" si="1"/>
        <v>&lt;tr&gt;&lt;td clas='year'&gt;&lt;/td&gt;&lt;td&gt;Golden Globe Award: Nominiert für Der seltsame Fall des Benjamin Button&lt;/td&gt;&lt;/tr&gt;</v>
      </c>
    </row>
    <row r="22" spans="1:7" x14ac:dyDescent="0.25">
      <c r="A22" t="str">
        <f t="shared" si="0"/>
        <v/>
      </c>
      <c r="B22" t="s">
        <v>250</v>
      </c>
      <c r="C22" t="s">
        <v>665</v>
      </c>
      <c r="D22" t="s">
        <v>1262</v>
      </c>
      <c r="E22" t="s">
        <v>258</v>
      </c>
      <c r="F22" t="s">
        <v>773</v>
      </c>
      <c r="G22" t="str">
        <f t="shared" si="1"/>
        <v>&lt;tr&gt;&lt;td clas='year'&gt;&lt;/td&gt;&lt;td&gt;British Academy Film Award: Nominiert für Der seltsame Fall des Benjamin Button&lt;/td&gt;&lt;/tr&gt;</v>
      </c>
    </row>
    <row r="23" spans="1:7" x14ac:dyDescent="0.25">
      <c r="A23" t="str">
        <f t="shared" si="0"/>
        <v/>
      </c>
      <c r="B23" t="s">
        <v>250</v>
      </c>
      <c r="C23" t="s">
        <v>660</v>
      </c>
      <c r="D23" t="s">
        <v>1262</v>
      </c>
      <c r="E23" t="s">
        <v>751</v>
      </c>
      <c r="F23" t="s">
        <v>769</v>
      </c>
      <c r="G23" t="str">
        <f t="shared" si="1"/>
        <v>&lt;tr&gt;&lt;td clas='year'&gt;&lt;/td&gt;&lt;td&gt;Europäischer Filmpreis: Nominiert für Coco Chanel&lt;/td&gt;&lt;/tr&gt;</v>
      </c>
    </row>
    <row r="24" spans="1:7" x14ac:dyDescent="0.25">
      <c r="A24" t="str">
        <f t="shared" si="0"/>
        <v>2009</v>
      </c>
      <c r="B24" t="s">
        <v>250</v>
      </c>
      <c r="C24" t="s">
        <v>662</v>
      </c>
      <c r="D24" t="s">
        <v>744</v>
      </c>
      <c r="E24" t="s">
        <v>756</v>
      </c>
      <c r="F24" t="s">
        <v>773</v>
      </c>
      <c r="G24" t="str">
        <f t="shared" si="1"/>
        <v>&lt;tr&gt;&lt;td clas='year'&gt;2009&lt;/td&gt;&lt;td&gt;World Soundtrack Award: Ausgezeichnet für Filmkomponist des Jahres für Der seltsame Fall des Benjamin Button, Chérie, Coco Chanel und Largo Winch sowie Beste Filmmusik des Jahres für Der seltsame Fall des Benjamin Button&lt;/td&gt;&lt;/tr&gt;</v>
      </c>
    </row>
    <row r="25" spans="1:7" x14ac:dyDescent="0.25">
      <c r="A25" t="str">
        <f t="shared" si="0"/>
        <v/>
      </c>
      <c r="B25" t="s">
        <v>245</v>
      </c>
      <c r="C25" t="s">
        <v>663</v>
      </c>
      <c r="D25" t="s">
        <v>1262</v>
      </c>
      <c r="E25" t="s">
        <v>682</v>
      </c>
      <c r="F25" t="s">
        <v>770</v>
      </c>
      <c r="G25" t="str">
        <f t="shared" si="1"/>
        <v>&lt;tr&gt;&lt;td clas='year'&gt;&lt;/td&gt;&lt;td&gt;Oscar: Nominiert für Der fantastische Mr. Fox&lt;/td&gt;&lt;/tr&gt;</v>
      </c>
    </row>
    <row r="26" spans="1:7" x14ac:dyDescent="0.25">
      <c r="A26" t="str">
        <f t="shared" si="0"/>
        <v/>
      </c>
      <c r="B26" t="s">
        <v>245</v>
      </c>
      <c r="C26" t="s">
        <v>665</v>
      </c>
      <c r="D26" t="s">
        <v>1262</v>
      </c>
      <c r="E26" t="s">
        <v>682</v>
      </c>
      <c r="F26" t="s">
        <v>770</v>
      </c>
      <c r="G26" t="str">
        <f t="shared" si="1"/>
        <v>&lt;tr&gt;&lt;td clas='year'&gt;&lt;/td&gt;&lt;td&gt;British Academy Film Award: Nominiert für Der fantastische Mr. Fox&lt;/td&gt;&lt;/tr&gt;</v>
      </c>
    </row>
    <row r="27" spans="1:7" x14ac:dyDescent="0.25">
      <c r="A27" t="str">
        <f t="shared" si="0"/>
        <v/>
      </c>
      <c r="B27" t="s">
        <v>245</v>
      </c>
      <c r="C27" t="s">
        <v>666</v>
      </c>
      <c r="D27" t="s">
        <v>1262</v>
      </c>
      <c r="E27" t="s">
        <v>254</v>
      </c>
      <c r="F27" t="s">
        <v>784</v>
      </c>
      <c r="G27" t="str">
        <f t="shared" si="1"/>
        <v>&lt;tr&gt;&lt;td clas='year'&gt;&lt;/td&gt;&lt;td&gt;César: Nominiert für Ein Prophet&lt;/td&gt;&lt;/tr&gt;</v>
      </c>
    </row>
    <row r="28" spans="1:7" x14ac:dyDescent="0.25">
      <c r="A28" t="str">
        <f t="shared" si="0"/>
        <v/>
      </c>
      <c r="B28" t="s">
        <v>245</v>
      </c>
      <c r="C28" t="s">
        <v>660</v>
      </c>
      <c r="D28" t="s">
        <v>744</v>
      </c>
      <c r="E28" t="s">
        <v>249</v>
      </c>
      <c r="F28" t="s">
        <v>783</v>
      </c>
      <c r="G28" t="str">
        <f t="shared" si="1"/>
        <v>&lt;tr&gt;&lt;td clas='year'&gt;&lt;/td&gt;&lt;td&gt;Europäischer Filmpreis: Ausgezeichnet für Der Ghostwriter&lt;/td&gt;&lt;/tr&gt;</v>
      </c>
    </row>
    <row r="29" spans="1:7" x14ac:dyDescent="0.25">
      <c r="A29" t="str">
        <f t="shared" si="0"/>
        <v>2010</v>
      </c>
      <c r="B29" t="s">
        <v>245</v>
      </c>
      <c r="C29" t="s">
        <v>662</v>
      </c>
      <c r="D29" t="s">
        <v>744</v>
      </c>
      <c r="E29" t="s">
        <v>757</v>
      </c>
      <c r="F29" t="s">
        <v>770</v>
      </c>
      <c r="G29" t="str">
        <f t="shared" si="1"/>
        <v>&lt;tr&gt;&lt;td clas='year'&gt;2010&lt;/td&gt;&lt;td&gt;World Soundtrack Award: Ausgezeichnet für Filmkomponist des Jahres für Julie &amp; Julia, Der fantastische Mr. Fox, New Moon – Bis(s) zur Mittagsstunde und Der Ghostwriter sowie Beste Filmmusik des Jahres für Der fantastische Mr. Fox&lt;/td&gt;&lt;/tr&gt;</v>
      </c>
    </row>
    <row r="30" spans="1:7" x14ac:dyDescent="0.25">
      <c r="A30" t="str">
        <f t="shared" si="0"/>
        <v/>
      </c>
      <c r="B30" t="s">
        <v>236</v>
      </c>
      <c r="C30" t="s">
        <v>663</v>
      </c>
      <c r="D30" t="s">
        <v>1262</v>
      </c>
      <c r="E30" t="s">
        <v>752</v>
      </c>
      <c r="F30" t="s">
        <v>771</v>
      </c>
      <c r="G30" t="str">
        <f t="shared" si="1"/>
        <v>&lt;tr&gt;&lt;td clas='year'&gt;&lt;/td&gt;&lt;td&gt;Oscar: Nominiert für The King’s Speech&lt;/td&gt;&lt;/tr&gt;</v>
      </c>
    </row>
    <row r="31" spans="1:7" x14ac:dyDescent="0.25">
      <c r="A31" t="str">
        <f t="shared" si="0"/>
        <v/>
      </c>
      <c r="B31" t="s">
        <v>236</v>
      </c>
      <c r="C31" t="s">
        <v>664</v>
      </c>
      <c r="D31" t="s">
        <v>1262</v>
      </c>
      <c r="E31" t="s">
        <v>752</v>
      </c>
      <c r="F31" t="s">
        <v>771</v>
      </c>
      <c r="G31" t="str">
        <f t="shared" si="1"/>
        <v>&lt;tr&gt;&lt;td clas='year'&gt;&lt;/td&gt;&lt;td&gt;Golden Globe Award: Nominiert für The King’s Speech&lt;/td&gt;&lt;/tr&gt;</v>
      </c>
    </row>
    <row r="32" spans="1:7" x14ac:dyDescent="0.25">
      <c r="A32" t="str">
        <f t="shared" si="0"/>
        <v/>
      </c>
      <c r="B32" t="s">
        <v>236</v>
      </c>
      <c r="C32" t="s">
        <v>665</v>
      </c>
      <c r="D32" t="s">
        <v>744</v>
      </c>
      <c r="E32" t="s">
        <v>752</v>
      </c>
      <c r="F32" t="s">
        <v>771</v>
      </c>
      <c r="G32" t="str">
        <f t="shared" si="1"/>
        <v>&lt;tr&gt;&lt;td clas='year'&gt;&lt;/td&gt;&lt;td&gt;British Academy Film Award: Ausgezeichnet für The King’s Speech&lt;/td&gt;&lt;/tr&gt;</v>
      </c>
    </row>
    <row r="33" spans="1:7" x14ac:dyDescent="0.25">
      <c r="A33" t="str">
        <f t="shared" si="0"/>
        <v/>
      </c>
      <c r="B33" t="s">
        <v>236</v>
      </c>
      <c r="C33" t="s">
        <v>666</v>
      </c>
      <c r="D33" t="s">
        <v>744</v>
      </c>
      <c r="E33" t="s">
        <v>249</v>
      </c>
      <c r="F33" t="s">
        <v>783</v>
      </c>
      <c r="G33" t="str">
        <f t="shared" si="1"/>
        <v>&lt;tr&gt;&lt;td clas='year'&gt;&lt;/td&gt;&lt;td&gt;César: Ausgezeichnet für Der Ghostwriter&lt;/td&gt;&lt;/tr&gt;</v>
      </c>
    </row>
    <row r="34" spans="1:7" x14ac:dyDescent="0.25">
      <c r="A34" t="str">
        <f t="shared" si="0"/>
        <v>2011</v>
      </c>
      <c r="B34" t="s">
        <v>236</v>
      </c>
      <c r="C34" t="s">
        <v>660</v>
      </c>
      <c r="D34" t="s">
        <v>1262</v>
      </c>
      <c r="E34" t="s">
        <v>752</v>
      </c>
      <c r="F34" t="s">
        <v>771</v>
      </c>
      <c r="G34" t="str">
        <f t="shared" si="1"/>
        <v>&lt;tr&gt;&lt;td clas='year'&gt;2011&lt;/td&gt;&lt;td&gt;Europäischer Filmpreis: Nominiert für The King’s Speech&lt;/td&gt;&lt;/tr&gt;</v>
      </c>
    </row>
    <row r="35" spans="1:7" x14ac:dyDescent="0.25">
      <c r="A35" t="str">
        <f t="shared" si="0"/>
        <v/>
      </c>
      <c r="B35" t="s">
        <v>222</v>
      </c>
      <c r="C35" t="s">
        <v>663</v>
      </c>
      <c r="D35" t="s">
        <v>1262</v>
      </c>
      <c r="E35" t="s">
        <v>231</v>
      </c>
      <c r="F35" t="s">
        <v>772</v>
      </c>
      <c r="G35" t="str">
        <f t="shared" si="1"/>
        <v>&lt;tr&gt;&lt;td clas='year'&gt;&lt;/td&gt;&lt;td&gt;Oscar: Nominiert für Argo&lt;/td&gt;&lt;/tr&gt;</v>
      </c>
    </row>
    <row r="36" spans="1:7" x14ac:dyDescent="0.25">
      <c r="A36" t="str">
        <f t="shared" si="0"/>
        <v/>
      </c>
      <c r="B36" t="s">
        <v>222</v>
      </c>
      <c r="C36" t="s">
        <v>665</v>
      </c>
      <c r="D36" t="s">
        <v>1262</v>
      </c>
      <c r="E36" t="s">
        <v>231</v>
      </c>
      <c r="F36" t="s">
        <v>772</v>
      </c>
      <c r="G36" t="str">
        <f t="shared" si="1"/>
        <v>&lt;tr&gt;&lt;td clas='year'&gt;&lt;/td&gt;&lt;td&gt;British Academy Film Award: Nominiert für Argo&lt;/td&gt;&lt;/tr&gt;</v>
      </c>
    </row>
    <row r="37" spans="1:7" x14ac:dyDescent="0.25">
      <c r="A37" t="str">
        <f t="shared" si="0"/>
        <v>2013</v>
      </c>
      <c r="B37" t="s">
        <v>222</v>
      </c>
      <c r="C37" t="s">
        <v>666</v>
      </c>
      <c r="D37" t="s">
        <v>744</v>
      </c>
      <c r="E37" t="s">
        <v>233</v>
      </c>
      <c r="F37" t="s">
        <v>788</v>
      </c>
      <c r="G37" t="str">
        <f t="shared" si="1"/>
        <v>&lt;tr&gt;&lt;td clas='year'&gt;2013&lt;/td&gt;&lt;td&gt;César: Ausgezeichnet für Der Geschmack von Rost und Knochen&lt;/td&gt;&lt;/tr&gt;</v>
      </c>
    </row>
    <row r="38" spans="1:7" x14ac:dyDescent="0.25">
      <c r="A38" t="str">
        <f t="shared" si="0"/>
        <v>2014</v>
      </c>
      <c r="B38" t="s">
        <v>218</v>
      </c>
      <c r="C38" t="s">
        <v>663</v>
      </c>
      <c r="D38" t="s">
        <v>1262</v>
      </c>
      <c r="E38" t="s">
        <v>758</v>
      </c>
      <c r="F38" t="s">
        <v>789</v>
      </c>
      <c r="G38" t="str">
        <f t="shared" si="1"/>
        <v>&lt;tr&gt;&lt;td clas='year'&gt;2014&lt;/td&gt;&lt;td&gt;Oscar: Nominiert für Philomena&lt;/td&gt;&lt;/tr&gt;</v>
      </c>
    </row>
    <row r="39" spans="1:7" x14ac:dyDescent="0.25">
      <c r="A39" t="str">
        <f t="shared" si="0"/>
        <v/>
      </c>
      <c r="B39" t="s">
        <v>213</v>
      </c>
      <c r="C39" t="s">
        <v>663</v>
      </c>
      <c r="D39" t="s">
        <v>1262</v>
      </c>
      <c r="E39" t="s">
        <v>759</v>
      </c>
      <c r="F39" t="s">
        <v>786</v>
      </c>
      <c r="G39" t="str">
        <f t="shared" si="1"/>
        <v>&lt;tr&gt;&lt;td clas='year'&gt;&lt;/td&gt;&lt;td&gt;Oscar: Nominiert für The Imitation Game – Ein streng geheimes Leben&lt;/td&gt;&lt;/tr&gt;</v>
      </c>
    </row>
    <row r="40" spans="1:7" x14ac:dyDescent="0.25">
      <c r="A40" t="str">
        <f t="shared" si="0"/>
        <v/>
      </c>
      <c r="B40" t="s">
        <v>213</v>
      </c>
      <c r="C40" t="s">
        <v>663</v>
      </c>
      <c r="D40" t="s">
        <v>744</v>
      </c>
      <c r="E40" t="s">
        <v>221</v>
      </c>
      <c r="F40" t="s">
        <v>785</v>
      </c>
      <c r="G40" t="str">
        <f t="shared" si="1"/>
        <v>&lt;tr&gt;&lt;td clas='year'&gt;&lt;/td&gt;&lt;td&gt;Oscar: Ausgezeichnet für Grand Budapest Hotel&lt;/td&gt;&lt;/tr&gt;</v>
      </c>
    </row>
    <row r="41" spans="1:7" x14ac:dyDescent="0.25">
      <c r="A41" t="str">
        <f t="shared" si="0"/>
        <v/>
      </c>
      <c r="B41" t="s">
        <v>213</v>
      </c>
      <c r="C41" t="s">
        <v>664</v>
      </c>
      <c r="D41" t="s">
        <v>1262</v>
      </c>
      <c r="E41" t="s">
        <v>762</v>
      </c>
      <c r="F41" t="s">
        <v>786</v>
      </c>
      <c r="G41" t="str">
        <f t="shared" si="1"/>
        <v>&lt;tr&gt;&lt;td clas='year'&gt;&lt;/td&gt;&lt;td&gt;Golden Globe Award: Nominiert für The Imitation Game&lt;/td&gt;&lt;/tr&gt;</v>
      </c>
    </row>
    <row r="42" spans="1:7" x14ac:dyDescent="0.25">
      <c r="A42" t="str">
        <f t="shared" si="0"/>
        <v>2015</v>
      </c>
      <c r="B42" t="s">
        <v>213</v>
      </c>
      <c r="C42" t="s">
        <v>665</v>
      </c>
      <c r="D42" t="s">
        <v>744</v>
      </c>
      <c r="E42" t="s">
        <v>221</v>
      </c>
      <c r="F42" t="s">
        <v>785</v>
      </c>
      <c r="G42" t="str">
        <f t="shared" si="1"/>
        <v>&lt;tr&gt;&lt;td clas='year'&gt;2015&lt;/td&gt;&lt;td&gt;British Academy Film Award: Ausgezeichnet für Grand Budapest Hotel&lt;/td&gt;&lt;/tr&gt;</v>
      </c>
    </row>
    <row r="43" spans="1:7" x14ac:dyDescent="0.25">
      <c r="A43" t="str">
        <f t="shared" si="0"/>
        <v>2016</v>
      </c>
      <c r="B43" t="s">
        <v>206</v>
      </c>
      <c r="C43" t="s">
        <v>664</v>
      </c>
      <c r="D43" t="s">
        <v>1262</v>
      </c>
      <c r="E43" t="s">
        <v>214</v>
      </c>
      <c r="F43" t="s">
        <v>787</v>
      </c>
      <c r="G43" t="str">
        <f t="shared" si="1"/>
        <v>&lt;tr&gt;&lt;td clas='year'&gt;2016&lt;/td&gt;&lt;td&gt;Golden Globe Award: Nominiert für The Danish Girl&lt;/td&gt;&lt;/tr&gt;</v>
      </c>
    </row>
    <row r="44" spans="1:7" x14ac:dyDescent="0.25">
      <c r="A44" t="str">
        <f t="shared" si="0"/>
        <v/>
      </c>
      <c r="B44" t="s">
        <v>198</v>
      </c>
      <c r="C44" t="s">
        <v>663</v>
      </c>
      <c r="D44" t="s">
        <v>744</v>
      </c>
      <c r="E44" t="s">
        <v>760</v>
      </c>
      <c r="F44" t="s">
        <v>774</v>
      </c>
      <c r="G44" t="str">
        <f t="shared" si="1"/>
        <v>&lt;tr&gt;&lt;td clas='year'&gt;&lt;/td&gt;&lt;td&gt;Oscar: Ausgezeichnet für Shape of Water – Das Flüstern des Wassers&lt;/td&gt;&lt;/tr&gt;</v>
      </c>
    </row>
    <row r="45" spans="1:7" x14ac:dyDescent="0.25">
      <c r="A45" t="str">
        <f t="shared" si="0"/>
        <v/>
      </c>
      <c r="B45" t="s">
        <v>198</v>
      </c>
      <c r="C45" t="s">
        <v>664</v>
      </c>
      <c r="D45" t="s">
        <v>744</v>
      </c>
      <c r="E45" t="s">
        <v>760</v>
      </c>
      <c r="F45" t="s">
        <v>774</v>
      </c>
      <c r="G45" t="str">
        <f t="shared" si="1"/>
        <v>&lt;tr&gt;&lt;td clas='year'&gt;&lt;/td&gt;&lt;td&gt;Golden Globe Award: Ausgezeichnet für Shape of Water – Das Flüstern des Wassers&lt;/td&gt;&lt;/tr&gt;</v>
      </c>
    </row>
    <row r="46" spans="1:7" x14ac:dyDescent="0.25">
      <c r="A46" t="str">
        <f t="shared" si="0"/>
        <v>2018</v>
      </c>
      <c r="B46" t="s">
        <v>198</v>
      </c>
      <c r="C46" t="s">
        <v>665</v>
      </c>
      <c r="D46" t="s">
        <v>744</v>
      </c>
      <c r="E46" t="s">
        <v>760</v>
      </c>
      <c r="F46" t="s">
        <v>774</v>
      </c>
      <c r="G46" t="str">
        <f t="shared" si="1"/>
        <v>&lt;tr&gt;&lt;td clas='year'&gt;2018&lt;/td&gt;&lt;td&gt;British Academy Film Award: Ausgezeichnet für Shape of Water – Das Flüstern des Wassers&lt;/td&gt;&lt;/tr&gt;</v>
      </c>
    </row>
    <row r="47" spans="1:7" x14ac:dyDescent="0.25">
      <c r="A47" t="str">
        <f t="shared" si="0"/>
        <v/>
      </c>
      <c r="B47" t="s">
        <v>195</v>
      </c>
      <c r="C47" t="s">
        <v>663</v>
      </c>
      <c r="D47" t="s">
        <v>1262</v>
      </c>
      <c r="E47" t="s">
        <v>761</v>
      </c>
      <c r="F47" t="s">
        <v>775</v>
      </c>
      <c r="G47" t="str">
        <f t="shared" si="1"/>
        <v>&lt;tr&gt;&lt;td clas='year'&gt;&lt;/td&gt;&lt;td&gt;Oscar: Nominiert für Isle of Dogs – Ataris Reise&lt;/td&gt;&lt;/tr&gt;</v>
      </c>
    </row>
    <row r="48" spans="1:7" x14ac:dyDescent="0.25">
      <c r="A48" t="str">
        <f t="shared" si="0"/>
        <v/>
      </c>
      <c r="B48" t="s">
        <v>195</v>
      </c>
      <c r="C48" t="s">
        <v>664</v>
      </c>
      <c r="D48" t="s">
        <v>1262</v>
      </c>
      <c r="E48" t="s">
        <v>763</v>
      </c>
      <c r="F48" t="s">
        <v>775</v>
      </c>
      <c r="G48" t="str">
        <f t="shared" si="1"/>
        <v>&lt;tr&gt;&lt;td clas='year'&gt;&lt;/td&gt;&lt;td&gt;Golden Globe Award: Nominiert für Isle of Dogs - Ataris Reise&lt;/td&gt;&lt;/tr&gt;</v>
      </c>
    </row>
    <row r="49" spans="1:7" x14ac:dyDescent="0.25">
      <c r="A49" t="str">
        <f t="shared" si="0"/>
        <v>2019</v>
      </c>
      <c r="B49" t="s">
        <v>195</v>
      </c>
      <c r="C49" t="s">
        <v>665</v>
      </c>
      <c r="D49" t="s">
        <v>1262</v>
      </c>
      <c r="E49" t="s">
        <v>763</v>
      </c>
      <c r="F49" t="s">
        <v>775</v>
      </c>
      <c r="G49" t="str">
        <f t="shared" si="1"/>
        <v>&lt;tr&gt;&lt;td clas='year'&gt;2019&lt;/td&gt;&lt;td&gt;British Academy Film Award: Nominiert für Isle of Dogs - Ataris Reise&lt;/td&gt;&lt;/tr&gt;</v>
      </c>
    </row>
    <row r="50" spans="1:7" x14ac:dyDescent="0.25">
      <c r="A50" t="str">
        <f t="shared" si="0"/>
        <v/>
      </c>
      <c r="B50" t="s">
        <v>194</v>
      </c>
      <c r="C50" t="s">
        <v>663</v>
      </c>
      <c r="D50" t="s">
        <v>1262</v>
      </c>
      <c r="E50" t="s">
        <v>196</v>
      </c>
      <c r="F50" t="s">
        <v>776</v>
      </c>
      <c r="G50" t="str">
        <f t="shared" si="1"/>
        <v>&lt;tr&gt;&lt;td clas='year'&gt;&lt;/td&gt;&lt;td&gt;Oscar: Nominiert für Little Women&lt;/td&gt;&lt;/tr&gt;</v>
      </c>
    </row>
    <row r="51" spans="1:7" x14ac:dyDescent="0.25">
      <c r="A51" t="str">
        <f t="shared" si="0"/>
        <v/>
      </c>
      <c r="B51" t="s">
        <v>194</v>
      </c>
      <c r="C51" t="s">
        <v>664</v>
      </c>
      <c r="D51" t="s">
        <v>1262</v>
      </c>
      <c r="E51" t="s">
        <v>196</v>
      </c>
      <c r="F51" t="s">
        <v>776</v>
      </c>
      <c r="G51" t="str">
        <f t="shared" si="1"/>
        <v>&lt;tr&gt;&lt;td clas='year'&gt;&lt;/td&gt;&lt;td&gt;Golden Globe Award: Nominiert für Little Women&lt;/td&gt;&lt;/tr&gt;</v>
      </c>
    </row>
    <row r="52" spans="1:7" x14ac:dyDescent="0.25">
      <c r="A52" t="str">
        <f t="shared" si="0"/>
        <v/>
      </c>
      <c r="B52" t="s">
        <v>194</v>
      </c>
      <c r="C52" t="s">
        <v>665</v>
      </c>
      <c r="D52" t="s">
        <v>1262</v>
      </c>
      <c r="E52" t="s">
        <v>196</v>
      </c>
      <c r="F52" t="s">
        <v>776</v>
      </c>
      <c r="G52" t="str">
        <f t="shared" si="1"/>
        <v>&lt;tr&gt;&lt;td clas='year'&gt;&lt;/td&gt;&lt;td&gt;British Academy Film Award: Nominiert für Little Women&lt;/td&gt;&lt;/tr&gt;</v>
      </c>
    </row>
    <row r="53" spans="1:7" x14ac:dyDescent="0.25">
      <c r="A53" t="str">
        <f t="shared" si="0"/>
        <v>2020</v>
      </c>
      <c r="B53" t="s">
        <v>194</v>
      </c>
      <c r="C53" t="s">
        <v>666</v>
      </c>
      <c r="D53" t="s">
        <v>1262</v>
      </c>
      <c r="E53" t="s">
        <v>197</v>
      </c>
      <c r="F53" t="s">
        <v>777</v>
      </c>
      <c r="G53" t="str">
        <f t="shared" si="1"/>
        <v>&lt;tr&gt;&lt;td clas='year'&gt;2020&lt;/td&gt;&lt;td&gt;César: Nominiert für Intrige&lt;/td&gt;&lt;/tr&gt;</v>
      </c>
    </row>
  </sheetData>
  <autoFilter ref="C1:C53" xr:uid="{F5C7ED3C-BEFA-4F8D-B3CD-41E107062D72}"/>
  <sortState xmlns:xlrd2="http://schemas.microsoft.com/office/spreadsheetml/2017/richdata2" ref="B2:G64">
    <sortCondition ref="B2:B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0A29C-7BF4-4968-AD08-ED251109C0A2}">
  <dimension ref="A1:H100"/>
  <sheetViews>
    <sheetView topLeftCell="A19" workbookViewId="0">
      <selection activeCell="B86" sqref="B86"/>
    </sheetView>
  </sheetViews>
  <sheetFormatPr defaultRowHeight="15" x14ac:dyDescent="0.25"/>
  <cols>
    <col min="1" max="1" width="5" bestFit="1" customWidth="1"/>
    <col min="2" max="2" width="61.28515625" bestFit="1" customWidth="1"/>
    <col min="3" max="3" width="7.140625" bestFit="1" customWidth="1"/>
  </cols>
  <sheetData>
    <row r="1" spans="1:8" x14ac:dyDescent="0.25">
      <c r="A1" t="s">
        <v>4</v>
      </c>
      <c r="B1" t="s">
        <v>1023</v>
      </c>
      <c r="C1" t="s">
        <v>1024</v>
      </c>
      <c r="D1" t="s">
        <v>1020</v>
      </c>
      <c r="E1" t="s">
        <v>1021</v>
      </c>
      <c r="F1" t="s">
        <v>1022</v>
      </c>
    </row>
    <row r="2" spans="1:8" x14ac:dyDescent="0.25">
      <c r="A2" t="s">
        <v>329</v>
      </c>
      <c r="B2" t="s">
        <v>1025</v>
      </c>
      <c r="C2" t="s">
        <v>1026</v>
      </c>
      <c r="D2">
        <v>0</v>
      </c>
      <c r="E2" t="s">
        <v>1027</v>
      </c>
      <c r="F2">
        <v>0</v>
      </c>
      <c r="H2" t="str">
        <f>+"&lt;tr onclick=&amp;quot;myFunction('"&amp;F2&amp;"')&amp;quot;&gt;&lt;td&gt;icon&lt;/td&gt;&lt;td&gt;" &amp;A2 &amp; "&lt;/td&gt;&lt;td&gt;" &amp; B2 &amp; "&lt;/td&gt;&lt;td&gt;" &amp; C2 &amp;"&lt;/td&gt;&lt;/tr&gt;"</f>
        <v>&lt;tr onclick=&amp;quot;myFunction('0')&amp;quot;&gt;&lt;td&gt;icon&lt;/td&gt;&lt;td&gt;1993&lt;/td&gt;&lt;td&gt;The advocate / The Hour of the Pig&lt;/td&gt;&lt;td&gt;00:00&lt;/td&gt;&lt;/tr&gt;</v>
      </c>
    </row>
    <row r="3" spans="1:8" x14ac:dyDescent="0.25">
      <c r="A3" t="s">
        <v>327</v>
      </c>
      <c r="B3" t="s">
        <v>1028</v>
      </c>
      <c r="C3" t="s">
        <v>1029</v>
      </c>
      <c r="D3">
        <v>0</v>
      </c>
      <c r="E3" t="s">
        <v>1030</v>
      </c>
      <c r="F3">
        <v>60</v>
      </c>
      <c r="H3" t="str">
        <f t="shared" ref="H3:H66" si="0">+"&lt;tr onclick=&amp;quot;myFunction('"&amp;F3&amp;"')&amp;quot;&gt;&lt;td&gt;icon&lt;/td&gt;&lt;td&gt;" &amp;A3 &amp; "&lt;/td&gt;&lt;td&gt;" &amp; B3 &amp; "&lt;/td&gt;&lt;td&gt;" &amp; C3 &amp;"&lt;/td&gt;&lt;/tr&gt;"</f>
        <v>&lt;tr onclick=&amp;quot;myFunction('60')&amp;quot;&gt;&lt;td&gt;icon&lt;/td&gt;&lt;td&gt;1994&lt;/td&gt;&lt;td&gt;Regarde les hommes tomber / See How They Fall &lt;/td&gt;&lt;td&gt;01:00&lt;/td&gt;&lt;/tr&gt;</v>
      </c>
    </row>
    <row r="4" spans="1:8" x14ac:dyDescent="0.25">
      <c r="A4" t="s">
        <v>327</v>
      </c>
      <c r="B4" t="s">
        <v>1031</v>
      </c>
      <c r="C4" t="s">
        <v>1032</v>
      </c>
      <c r="D4">
        <v>0</v>
      </c>
      <c r="E4" t="s">
        <v>1033</v>
      </c>
      <c r="F4">
        <v>120</v>
      </c>
      <c r="H4" t="str">
        <f t="shared" si="0"/>
        <v>&lt;tr onclick=&amp;quot;myFunction('120')&amp;quot;&gt;&lt;td&gt;icon&lt;/td&gt;&lt;td&gt;1994&lt;/td&gt;&lt;td&gt;Les Milles: le train de la liberté &lt;/td&gt;&lt;td&gt;02:00&lt;/td&gt;&lt;/tr&gt;</v>
      </c>
    </row>
    <row r="5" spans="1:8" x14ac:dyDescent="0.25">
      <c r="A5" t="s">
        <v>322</v>
      </c>
      <c r="B5" t="s">
        <v>1034</v>
      </c>
      <c r="C5" t="s">
        <v>1035</v>
      </c>
      <c r="D5">
        <v>0</v>
      </c>
      <c r="E5" t="s">
        <v>1036</v>
      </c>
      <c r="F5">
        <v>180</v>
      </c>
      <c r="H5" t="str">
        <f t="shared" si="0"/>
        <v>&lt;tr onclick=&amp;quot;myFunction('180')&amp;quot;&gt;&lt;td&gt;icon&lt;/td&gt;&lt;td&gt;1995&lt;/td&gt;&lt;td&gt;Les Peches Mortels / Innocent Lies&lt;/td&gt;&lt;td&gt;03:00&lt;/td&gt;&lt;/tr&gt;</v>
      </c>
    </row>
    <row r="6" spans="1:8" x14ac:dyDescent="0.25">
      <c r="A6" t="s">
        <v>302</v>
      </c>
      <c r="B6" t="s">
        <v>1037</v>
      </c>
      <c r="C6" t="s">
        <v>1038</v>
      </c>
      <c r="D6">
        <v>0</v>
      </c>
      <c r="E6" t="s">
        <v>1039</v>
      </c>
      <c r="F6">
        <v>240</v>
      </c>
      <c r="H6" t="str">
        <f t="shared" si="0"/>
        <v>&lt;tr onclick=&amp;quot;myFunction('240')&amp;quot;&gt;&lt;td&gt;icon&lt;/td&gt;&lt;td&gt;1996&lt;/td&gt;&lt;td&gt;Un Héros très discret / A Self Made Hero &lt;/td&gt;&lt;td&gt;04:00&lt;/td&gt;&lt;/tr&gt;</v>
      </c>
    </row>
    <row r="7" spans="1:8" x14ac:dyDescent="0.25">
      <c r="A7" t="s">
        <v>302</v>
      </c>
      <c r="B7" t="s">
        <v>1040</v>
      </c>
      <c r="C7" t="s">
        <v>1041</v>
      </c>
      <c r="D7">
        <v>0</v>
      </c>
      <c r="E7" t="s">
        <v>1042</v>
      </c>
      <c r="F7">
        <v>300</v>
      </c>
      <c r="H7" t="str">
        <f t="shared" si="0"/>
        <v>&lt;tr onclick=&amp;quot;myFunction('300')&amp;quot;&gt;&lt;td&gt;icon&lt;/td&gt;&lt;td&gt;1996&lt;/td&gt;&lt;td&gt;Love, etc. &lt;/td&gt;&lt;td&gt;05:00&lt;/td&gt;&lt;/tr&gt;</v>
      </c>
    </row>
    <row r="8" spans="1:8" x14ac:dyDescent="0.25">
      <c r="A8" t="s">
        <v>314</v>
      </c>
      <c r="B8" t="s">
        <v>1043</v>
      </c>
      <c r="C8" t="s">
        <v>1044</v>
      </c>
      <c r="D8">
        <v>0</v>
      </c>
      <c r="E8" t="s">
        <v>1045</v>
      </c>
      <c r="F8">
        <v>360</v>
      </c>
      <c r="H8" t="str">
        <f t="shared" si="0"/>
        <v>&lt;tr onclick=&amp;quot;myFunction('360')&amp;quot;&gt;&lt;td&gt;icon&lt;/td&gt;&lt;td&gt;1997&lt;/td&gt;&lt;td&gt;La Femme du cosmonaute &lt;/td&gt;&lt;td&gt;06:00&lt;/td&gt;&lt;/tr&gt;</v>
      </c>
    </row>
    <row r="9" spans="1:8" x14ac:dyDescent="0.25">
      <c r="A9" t="s">
        <v>308</v>
      </c>
      <c r="B9" t="s">
        <v>1046</v>
      </c>
      <c r="C9" t="s">
        <v>1047</v>
      </c>
      <c r="D9">
        <v>0</v>
      </c>
      <c r="E9" t="s">
        <v>1048</v>
      </c>
      <c r="F9">
        <v>420</v>
      </c>
      <c r="H9" t="str">
        <f t="shared" si="0"/>
        <v>&lt;tr onclick=&amp;quot;myFunction('420')&amp;quot;&gt;&lt;td&gt;icon&lt;/td&gt;&lt;td&gt;1998&lt;/td&gt;&lt;td&gt;Une Chance sur deux &lt;/td&gt;&lt;td&gt;07:00&lt;/td&gt;&lt;/tr&gt;</v>
      </c>
    </row>
    <row r="10" spans="1:8" x14ac:dyDescent="0.25">
      <c r="A10" t="s">
        <v>308</v>
      </c>
      <c r="B10" t="s">
        <v>1049</v>
      </c>
      <c r="C10" t="s">
        <v>1050</v>
      </c>
      <c r="D10">
        <v>0</v>
      </c>
      <c r="E10" t="s">
        <v>1051</v>
      </c>
      <c r="F10">
        <v>480</v>
      </c>
      <c r="H10" t="str">
        <f t="shared" si="0"/>
        <v>&lt;tr onclick=&amp;quot;myFunction('480')&amp;quot;&gt;&lt;td&gt;icon&lt;/td&gt;&lt;td&gt;1998&lt;/td&gt;&lt;td&gt;Restons groupés &lt;/td&gt;&lt;td&gt;08:00&lt;/td&gt;&lt;/tr&gt;</v>
      </c>
    </row>
    <row r="11" spans="1:8" x14ac:dyDescent="0.25">
      <c r="A11" t="s">
        <v>301</v>
      </c>
      <c r="B11" t="s">
        <v>1052</v>
      </c>
      <c r="C11" t="s">
        <v>1053</v>
      </c>
      <c r="D11">
        <v>0</v>
      </c>
      <c r="E11" t="s">
        <v>1054</v>
      </c>
      <c r="F11">
        <v>540</v>
      </c>
      <c r="H11" t="str">
        <f t="shared" si="0"/>
        <v>&lt;tr onclick=&amp;quot;myFunction('540')&amp;quot;&gt;&lt;td&gt;icon&lt;/td&gt;&lt;td&gt;1999&lt;/td&gt;&lt;td&gt;Toni&lt;/td&gt;&lt;td&gt;09:00&lt;/td&gt;&lt;/tr&gt;</v>
      </c>
    </row>
    <row r="12" spans="1:8" x14ac:dyDescent="0.25">
      <c r="A12" t="s">
        <v>6</v>
      </c>
      <c r="B12" t="s">
        <v>6</v>
      </c>
      <c r="C12" t="s">
        <v>6</v>
      </c>
      <c r="E12" t="s">
        <v>6</v>
      </c>
    </row>
    <row r="13" spans="1:8" x14ac:dyDescent="0.25">
      <c r="A13" t="s">
        <v>298</v>
      </c>
      <c r="B13" t="s">
        <v>1055</v>
      </c>
      <c r="C13" t="s">
        <v>1056</v>
      </c>
      <c r="D13">
        <v>0</v>
      </c>
      <c r="E13" t="s">
        <v>1057</v>
      </c>
      <c r="F13">
        <v>600</v>
      </c>
      <c r="H13" t="str">
        <f t="shared" si="0"/>
        <v>&lt;tr onclick=&amp;quot;myFunction('600')&amp;quot;&gt;&lt;td&gt;icon&lt;/td&gt;&lt;td&gt;2000&lt;/td&gt;&lt;td&gt;Amazone &lt;/td&gt;&lt;td&gt;10:00&lt;/td&gt;&lt;/tr&gt;</v>
      </c>
    </row>
    <row r="14" spans="1:8" x14ac:dyDescent="0.25">
      <c r="A14" t="s">
        <v>298</v>
      </c>
      <c r="B14" t="s">
        <v>1058</v>
      </c>
      <c r="C14" t="s">
        <v>1059</v>
      </c>
      <c r="D14">
        <v>0</v>
      </c>
      <c r="E14" t="s">
        <v>1060</v>
      </c>
      <c r="F14">
        <v>660</v>
      </c>
      <c r="H14" t="str">
        <f t="shared" si="0"/>
        <v>&lt;tr onclick=&amp;quot;myFunction('660')&amp;quot;&gt;&lt;td&gt;icon&lt;/td&gt;&lt;td&gt;2000&lt;/td&gt;&lt;td&gt;The Luzhin defence &lt;/td&gt;&lt;td&gt;11:00&lt;/td&gt;&lt;/tr&gt;</v>
      </c>
    </row>
    <row r="15" spans="1:8" x14ac:dyDescent="0.25">
      <c r="A15" t="s">
        <v>292</v>
      </c>
      <c r="B15" t="s">
        <v>1061</v>
      </c>
      <c r="C15" t="s">
        <v>1062</v>
      </c>
      <c r="D15">
        <v>0</v>
      </c>
      <c r="E15" t="s">
        <v>1063</v>
      </c>
      <c r="F15">
        <v>720</v>
      </c>
      <c r="H15" t="str">
        <f t="shared" si="0"/>
        <v>&lt;tr onclick=&amp;quot;myFunction('720')&amp;quot;&gt;&lt;td&gt;icon&lt;/td&gt;&lt;td&gt;2001&lt;/td&gt;&lt;td&gt;Sur mes lèvres / Read My Lips&lt;/td&gt;&lt;td&gt;12:00&lt;/td&gt;&lt;/tr&gt;</v>
      </c>
    </row>
    <row r="16" spans="1:8" x14ac:dyDescent="0.25">
      <c r="A16" t="s">
        <v>292</v>
      </c>
      <c r="B16" t="s">
        <v>1064</v>
      </c>
      <c r="C16" t="s">
        <v>1065</v>
      </c>
      <c r="D16">
        <v>0</v>
      </c>
      <c r="E16" t="s">
        <v>1066</v>
      </c>
      <c r="F16">
        <v>780</v>
      </c>
      <c r="H16" t="str">
        <f t="shared" si="0"/>
        <v>&lt;tr onclick=&amp;quot;myFunction('780')&amp;quot;&gt;&lt;td&gt;icon&lt;/td&gt;&lt;td&gt;2001&lt;/td&gt;&lt;td&gt;Reines d´un jour / A Hell of a Day&lt;/td&gt;&lt;td&gt;13:00&lt;/td&gt;&lt;/tr&gt;</v>
      </c>
    </row>
    <row r="17" spans="1:8" x14ac:dyDescent="0.25">
      <c r="A17" t="s">
        <v>292</v>
      </c>
      <c r="B17" t="s">
        <v>1067</v>
      </c>
      <c r="C17" t="s">
        <v>1068</v>
      </c>
      <c r="D17">
        <v>0</v>
      </c>
      <c r="E17" t="s">
        <v>1069</v>
      </c>
      <c r="F17">
        <v>840</v>
      </c>
      <c r="H17" t="str">
        <f t="shared" si="0"/>
        <v>&lt;tr onclick=&amp;quot;myFunction('840')&amp;quot;&gt;&lt;td&gt;icon&lt;/td&gt;&lt;td&gt;2001&lt;/td&gt;&lt;td&gt;Nid de guêpes / The Nest&lt;/td&gt;&lt;td&gt;14:00&lt;/td&gt;&lt;/tr&gt;</v>
      </c>
    </row>
    <row r="18" spans="1:8" x14ac:dyDescent="0.25">
      <c r="A18" t="s">
        <v>292</v>
      </c>
      <c r="B18" t="s">
        <v>1070</v>
      </c>
      <c r="C18" t="s">
        <v>1071</v>
      </c>
      <c r="D18">
        <v>0</v>
      </c>
      <c r="E18" t="s">
        <v>1072</v>
      </c>
      <c r="F18">
        <v>900</v>
      </c>
      <c r="H18" t="str">
        <f t="shared" si="0"/>
        <v>&lt;tr onclick=&amp;quot;myFunction('900')&amp;quot;&gt;&lt;td&gt;icon&lt;/td&gt;&lt;td&gt;2001&lt;/td&gt;&lt;td&gt;Mauvais genres / Transfixion &lt;/td&gt;&lt;td&gt;15:00&lt;/td&gt;&lt;/tr&gt;</v>
      </c>
    </row>
    <row r="19" spans="1:8" x14ac:dyDescent="0.25">
      <c r="A19" t="s">
        <v>282</v>
      </c>
      <c r="B19" t="s">
        <v>1073</v>
      </c>
      <c r="C19" t="s">
        <v>1074</v>
      </c>
      <c r="D19">
        <v>0</v>
      </c>
      <c r="E19" t="s">
        <v>1075</v>
      </c>
      <c r="F19">
        <v>960</v>
      </c>
      <c r="H19" t="str">
        <f t="shared" si="0"/>
        <v>&lt;tr onclick=&amp;quot;myFunction('960')&amp;quot;&gt;&lt;td&gt;icon&lt;/td&gt;&lt;td&gt;2003&lt;/td&gt;&lt;td&gt;Les Corps impatients / Eager Bodies &lt;/td&gt;&lt;td&gt;16:00&lt;/td&gt;&lt;/tr&gt;</v>
      </c>
    </row>
    <row r="20" spans="1:8" x14ac:dyDescent="0.25">
      <c r="A20" t="s">
        <v>282</v>
      </c>
      <c r="B20" t="s">
        <v>1076</v>
      </c>
      <c r="C20" t="s">
        <v>1077</v>
      </c>
      <c r="D20">
        <v>0</v>
      </c>
      <c r="E20" t="s">
        <v>1078</v>
      </c>
      <c r="F20">
        <v>1020</v>
      </c>
      <c r="H20" t="str">
        <f t="shared" si="0"/>
        <v>&lt;tr onclick=&amp;quot;myFunction('1020')&amp;quot;&gt;&lt;td&gt;icon&lt;/td&gt;&lt;td&gt;2003&lt;/td&gt;&lt;td&gt;Girl with a Pearl Earring &lt;/td&gt;&lt;td&gt;17:00&lt;/td&gt;&lt;/tr&gt;</v>
      </c>
    </row>
    <row r="21" spans="1:8" x14ac:dyDescent="0.25">
      <c r="A21" t="s">
        <v>279</v>
      </c>
      <c r="B21" t="s">
        <v>1079</v>
      </c>
      <c r="C21" t="s">
        <v>1080</v>
      </c>
      <c r="D21">
        <v>0</v>
      </c>
      <c r="E21" t="s">
        <v>1081</v>
      </c>
      <c r="F21">
        <v>1080</v>
      </c>
      <c r="H21" t="str">
        <f t="shared" si="0"/>
        <v>&lt;tr onclick=&amp;quot;myFunction('1080')&amp;quot;&gt;&lt;td&gt;icon&lt;/td&gt;&lt;td&gt;2004&lt;/td&gt;&lt;td&gt;L'Enquète corse / The Corsican File &lt;/td&gt;&lt;td&gt;18:00&lt;/td&gt;&lt;/tr&gt;</v>
      </c>
    </row>
    <row r="22" spans="1:8" x14ac:dyDescent="0.25">
      <c r="A22" t="s">
        <v>279</v>
      </c>
      <c r="B22" t="s">
        <v>281</v>
      </c>
      <c r="C22" t="s">
        <v>1082</v>
      </c>
      <c r="D22">
        <v>0</v>
      </c>
      <c r="E22" t="s">
        <v>1083</v>
      </c>
      <c r="F22">
        <v>1140</v>
      </c>
      <c r="H22" t="str">
        <f t="shared" si="0"/>
        <v>&lt;tr onclick=&amp;quot;myFunction('1140')&amp;quot;&gt;&lt;td&gt;icon&lt;/td&gt;&lt;td&gt;2004&lt;/td&gt;&lt;td&gt;Birth&lt;/td&gt;&lt;td&gt;19:00&lt;/td&gt;&lt;/tr&gt;</v>
      </c>
    </row>
    <row r="23" spans="1:8" x14ac:dyDescent="0.25">
      <c r="A23" t="s">
        <v>6</v>
      </c>
      <c r="B23" t="s">
        <v>6</v>
      </c>
      <c r="C23" t="s">
        <v>6</v>
      </c>
      <c r="E23" t="s">
        <v>6</v>
      </c>
    </row>
    <row r="24" spans="1:8" x14ac:dyDescent="0.25">
      <c r="A24" t="s">
        <v>271</v>
      </c>
      <c r="B24" t="s">
        <v>1084</v>
      </c>
      <c r="C24" t="s">
        <v>1085</v>
      </c>
      <c r="D24">
        <v>0</v>
      </c>
      <c r="E24" t="s">
        <v>1086</v>
      </c>
      <c r="F24">
        <v>1200</v>
      </c>
      <c r="H24" t="str">
        <f t="shared" si="0"/>
        <v>&lt;tr onclick=&amp;quot;myFunction('1200')&amp;quot;&gt;&lt;td&gt;icon&lt;/td&gt;&lt;td&gt;2005&lt;/td&gt;&lt;td&gt;Syriana &lt;/td&gt;&lt;td&gt;20:00&lt;/td&gt;&lt;/tr&gt;</v>
      </c>
    </row>
    <row r="25" spans="1:8" x14ac:dyDescent="0.25">
      <c r="A25" t="s">
        <v>271</v>
      </c>
      <c r="B25" t="s">
        <v>1087</v>
      </c>
      <c r="C25" t="s">
        <v>1088</v>
      </c>
      <c r="D25">
        <v>0</v>
      </c>
      <c r="E25" t="s">
        <v>1089</v>
      </c>
      <c r="F25">
        <v>1260</v>
      </c>
      <c r="H25" t="str">
        <f t="shared" si="0"/>
        <v>&lt;tr onclick=&amp;quot;myFunction('1260')&amp;quot;&gt;&lt;td&gt;icon&lt;/td&gt;&lt;td&gt;2005&lt;/td&gt;&lt;td&gt;Casanova &lt;/td&gt;&lt;td&gt;21:00&lt;/td&gt;&lt;/tr&gt;</v>
      </c>
    </row>
    <row r="26" spans="1:8" x14ac:dyDescent="0.25">
      <c r="A26" t="s">
        <v>271</v>
      </c>
      <c r="B26" t="s">
        <v>1090</v>
      </c>
      <c r="C26" t="s">
        <v>1091</v>
      </c>
      <c r="D26">
        <v>0</v>
      </c>
      <c r="E26" t="s">
        <v>1092</v>
      </c>
      <c r="F26">
        <v>1320</v>
      </c>
      <c r="H26" t="str">
        <f t="shared" si="0"/>
        <v>&lt;tr onclick=&amp;quot;myFunction('1320')&amp;quot;&gt;&lt;td&gt;icon&lt;/td&gt;&lt;td&gt;2005&lt;/td&gt;&lt;td&gt;De battre mon coeur s'est arrêté / The Beat That My Heart Skipped &lt;/td&gt;&lt;td&gt;22:00&lt;/td&gt;&lt;/tr&gt;</v>
      </c>
    </row>
    <row r="27" spans="1:8" x14ac:dyDescent="0.25">
      <c r="A27" t="s">
        <v>271</v>
      </c>
      <c r="B27" t="s">
        <v>1093</v>
      </c>
      <c r="C27" t="s">
        <v>1094</v>
      </c>
      <c r="D27">
        <v>0</v>
      </c>
      <c r="E27" t="s">
        <v>1095</v>
      </c>
      <c r="F27">
        <v>1380</v>
      </c>
      <c r="H27" t="str">
        <f t="shared" si="0"/>
        <v>&lt;tr onclick=&amp;quot;myFunction('1380')&amp;quot;&gt;&lt;td&gt;icon&lt;/td&gt;&lt;td&gt;2005&lt;/td&gt;&lt;td&gt;Hostage &lt;/td&gt;&lt;td&gt;23:00&lt;/td&gt;&lt;/tr&gt;</v>
      </c>
    </row>
    <row r="28" spans="1:8" x14ac:dyDescent="0.25">
      <c r="A28" t="s">
        <v>271</v>
      </c>
      <c r="B28" t="s">
        <v>1096</v>
      </c>
      <c r="C28" t="s">
        <v>1097</v>
      </c>
      <c r="D28">
        <v>0</v>
      </c>
      <c r="E28" t="s">
        <v>1098</v>
      </c>
      <c r="F28">
        <v>1440</v>
      </c>
      <c r="H28" t="str">
        <f t="shared" si="0"/>
        <v>&lt;tr onclick=&amp;quot;myFunction('1440')&amp;quot;&gt;&lt;td&gt;icon&lt;/td&gt;&lt;td&gt;2005&lt;/td&gt;&lt;td&gt;The Upside of Anger&lt;/td&gt;&lt;td&gt;24:00&lt;/td&gt;&lt;/tr&gt;</v>
      </c>
    </row>
    <row r="29" spans="1:8" x14ac:dyDescent="0.25">
      <c r="A29" t="s">
        <v>265</v>
      </c>
      <c r="B29" t="s">
        <v>1099</v>
      </c>
      <c r="C29" t="s">
        <v>1100</v>
      </c>
      <c r="D29">
        <v>0</v>
      </c>
      <c r="E29" t="s">
        <v>1101</v>
      </c>
      <c r="F29">
        <v>1500</v>
      </c>
      <c r="H29" t="str">
        <f t="shared" si="0"/>
        <v>&lt;tr onclick=&amp;quot;myFunction('1500')&amp;quot;&gt;&lt;td&gt;icon&lt;/td&gt;&lt;td&gt;2006&lt;/td&gt;&lt;td&gt;Firewall &lt;/td&gt;&lt;td&gt;25:00&lt;/td&gt;&lt;/tr&gt;</v>
      </c>
    </row>
    <row r="30" spans="1:8" x14ac:dyDescent="0.25">
      <c r="A30" t="s">
        <v>265</v>
      </c>
      <c r="B30" t="s">
        <v>1102</v>
      </c>
      <c r="C30" t="s">
        <v>1103</v>
      </c>
      <c r="D30">
        <v>0</v>
      </c>
      <c r="E30" t="s">
        <v>1104</v>
      </c>
      <c r="F30">
        <v>1560</v>
      </c>
      <c r="H30" t="str">
        <f t="shared" si="0"/>
        <v>&lt;tr onclick=&amp;quot;myFunction('1560')&amp;quot;&gt;&lt;td&gt;icon&lt;/td&gt;&lt;td&gt;2006&lt;/td&gt;&lt;td&gt;The Queen&lt;/td&gt;&lt;td&gt;26:00&lt;/td&gt;&lt;/tr&gt;</v>
      </c>
    </row>
    <row r="31" spans="1:8" x14ac:dyDescent="0.25">
      <c r="A31" t="s">
        <v>265</v>
      </c>
      <c r="B31" t="s">
        <v>1105</v>
      </c>
      <c r="C31" t="s">
        <v>1106</v>
      </c>
      <c r="D31">
        <v>0</v>
      </c>
      <c r="E31" t="s">
        <v>1107</v>
      </c>
      <c r="F31">
        <v>1620</v>
      </c>
      <c r="H31" t="str">
        <f t="shared" si="0"/>
        <v>&lt;tr onclick=&amp;quot;myFunction('1620')&amp;quot;&gt;&lt;td&gt;icon&lt;/td&gt;&lt;td&gt;2006&lt;/td&gt;&lt;td&gt;The Painted Veil &lt;/td&gt;&lt;td&gt;27:00&lt;/td&gt;&lt;/tr&gt;</v>
      </c>
    </row>
    <row r="32" spans="1:8" x14ac:dyDescent="0.25">
      <c r="A32" t="s">
        <v>265</v>
      </c>
      <c r="B32" t="s">
        <v>1108</v>
      </c>
      <c r="C32" t="s">
        <v>1109</v>
      </c>
      <c r="D32">
        <v>0</v>
      </c>
      <c r="E32" t="s">
        <v>1110</v>
      </c>
      <c r="F32">
        <v>1680</v>
      </c>
      <c r="H32" t="str">
        <f t="shared" si="0"/>
        <v>&lt;tr onclick=&amp;quot;myFunction('1680')&amp;quot;&gt;&lt;td&gt;icon&lt;/td&gt;&lt;td&gt;2006&lt;/td&gt;&lt;td&gt;Quand j'étais chanteur / The Singer &lt;/td&gt;&lt;td&gt;28:00&lt;/td&gt;&lt;/tr&gt;</v>
      </c>
    </row>
    <row r="33" spans="1:8" x14ac:dyDescent="0.25">
      <c r="A33" t="s">
        <v>261</v>
      </c>
      <c r="B33" t="s">
        <v>1111</v>
      </c>
      <c r="C33" t="s">
        <v>1112</v>
      </c>
      <c r="D33">
        <v>0</v>
      </c>
      <c r="E33" t="s">
        <v>1113</v>
      </c>
      <c r="F33">
        <v>1740</v>
      </c>
      <c r="H33" t="str">
        <f t="shared" si="0"/>
        <v>&lt;tr onclick=&amp;quot;myFunction('1740')&amp;quot;&gt;&lt;td&gt;icon&lt;/td&gt;&lt;td&gt;2007&lt;/td&gt;&lt;td&gt;Lust &amp; Caution&lt;/td&gt;&lt;td&gt;29:00&lt;/td&gt;&lt;/tr&gt;</v>
      </c>
    </row>
    <row r="34" spans="1:8" x14ac:dyDescent="0.25">
      <c r="A34" t="s">
        <v>6</v>
      </c>
      <c r="B34" t="s">
        <v>6</v>
      </c>
      <c r="C34" t="s">
        <v>6</v>
      </c>
      <c r="E34" t="s">
        <v>6</v>
      </c>
    </row>
    <row r="35" spans="1:8" x14ac:dyDescent="0.25">
      <c r="A35" t="s">
        <v>261</v>
      </c>
      <c r="B35" t="s">
        <v>1114</v>
      </c>
      <c r="C35" t="s">
        <v>1115</v>
      </c>
      <c r="D35">
        <v>0</v>
      </c>
      <c r="E35" t="s">
        <v>1116</v>
      </c>
      <c r="F35">
        <v>1800</v>
      </c>
      <c r="H35" t="str">
        <f t="shared" si="0"/>
        <v>&lt;tr onclick=&amp;quot;myFunction('1800')&amp;quot;&gt;&lt;td&gt;icon&lt;/td&gt;&lt;td&gt;2007&lt;/td&gt;&lt;td&gt;L'Ennemi intime / Intimate Enemies &lt;/td&gt;&lt;td&gt;30:00&lt;/td&gt;&lt;/tr&gt;</v>
      </c>
    </row>
    <row r="36" spans="1:8" x14ac:dyDescent="0.25">
      <c r="A36" t="s">
        <v>261</v>
      </c>
      <c r="B36" t="s">
        <v>1117</v>
      </c>
      <c r="C36" t="s">
        <v>1118</v>
      </c>
      <c r="D36">
        <v>0</v>
      </c>
      <c r="E36" t="s">
        <v>1119</v>
      </c>
      <c r="F36">
        <v>1860</v>
      </c>
      <c r="H36" t="str">
        <f t="shared" si="0"/>
        <v>&lt;tr onclick=&amp;quot;myFunction('1860')&amp;quot;&gt;&lt;td&gt;icon&lt;/td&gt;&lt;td&gt;2007&lt;/td&gt;&lt;td&gt;The Golden Compass&lt;/td&gt;&lt;td&gt;31:00&lt;/td&gt;&lt;/tr&gt;</v>
      </c>
    </row>
    <row r="37" spans="1:8" x14ac:dyDescent="0.25">
      <c r="A37" t="s">
        <v>261</v>
      </c>
      <c r="B37" t="s">
        <v>1120</v>
      </c>
      <c r="C37" t="s">
        <v>1121</v>
      </c>
      <c r="D37">
        <v>0</v>
      </c>
      <c r="E37" t="s">
        <v>1122</v>
      </c>
      <c r="F37">
        <v>1920</v>
      </c>
      <c r="H37" t="str">
        <f t="shared" si="0"/>
        <v>&lt;tr onclick=&amp;quot;myFunction('1920')&amp;quot;&gt;&lt;td&gt;icon&lt;/td&gt;&lt;td&gt;2007&lt;/td&gt;&lt;td&gt;Mr. Magorium's Wonder Emporium &lt;/td&gt;&lt;td&gt;32:00&lt;/td&gt;&lt;/tr&gt;</v>
      </c>
    </row>
    <row r="38" spans="1:8" x14ac:dyDescent="0.25">
      <c r="A38" t="s">
        <v>257</v>
      </c>
      <c r="B38" t="s">
        <v>1123</v>
      </c>
      <c r="C38" t="s">
        <v>1124</v>
      </c>
      <c r="D38">
        <v>0</v>
      </c>
      <c r="E38" t="s">
        <v>1125</v>
      </c>
      <c r="F38">
        <v>1980</v>
      </c>
      <c r="H38" t="str">
        <f t="shared" si="0"/>
        <v>&lt;tr onclick=&amp;quot;myFunction('1980')&amp;quot;&gt;&lt;td&gt;icon&lt;/td&gt;&lt;td&gt;2008&lt;/td&gt;&lt;td&gt;Largo Winch &lt;/td&gt;&lt;td&gt;33:00&lt;/td&gt;&lt;/tr&gt;</v>
      </c>
    </row>
    <row r="39" spans="1:8" x14ac:dyDescent="0.25">
      <c r="A39" t="s">
        <v>257</v>
      </c>
      <c r="B39" t="s">
        <v>1126</v>
      </c>
      <c r="C39" t="s">
        <v>1127</v>
      </c>
      <c r="D39">
        <v>0</v>
      </c>
      <c r="E39" t="s">
        <v>1128</v>
      </c>
      <c r="F39">
        <v>2040</v>
      </c>
      <c r="H39" t="str">
        <f t="shared" si="0"/>
        <v>&lt;tr onclick=&amp;quot;myFunction('2040')&amp;quot;&gt;&lt;td&gt;icon&lt;/td&gt;&lt;td&gt;2008&lt;/td&gt;&lt;td&gt;The Curious Case of Benjamin Button &lt;/td&gt;&lt;td&gt;34:00&lt;/td&gt;&lt;/tr&gt;</v>
      </c>
    </row>
    <row r="40" spans="1:8" x14ac:dyDescent="0.25">
      <c r="A40" t="s">
        <v>257</v>
      </c>
      <c r="B40" t="s">
        <v>1129</v>
      </c>
      <c r="C40" t="s">
        <v>1130</v>
      </c>
      <c r="D40">
        <v>0</v>
      </c>
      <c r="E40" t="s">
        <v>1131</v>
      </c>
      <c r="F40">
        <v>2100</v>
      </c>
      <c r="H40" t="str">
        <f t="shared" si="0"/>
        <v>&lt;tr onclick=&amp;quot;myFunction('2100')&amp;quot;&gt;&lt;td&gt;icon&lt;/td&gt;&lt;td&gt;2008&lt;/td&gt;&lt;td&gt;Afterwards &lt;/td&gt;&lt;td&gt;35:00&lt;/td&gt;&lt;/tr&gt;</v>
      </c>
    </row>
    <row r="41" spans="1:8" x14ac:dyDescent="0.25">
      <c r="A41" t="s">
        <v>250</v>
      </c>
      <c r="B41" t="s">
        <v>1132</v>
      </c>
      <c r="C41" t="s">
        <v>1133</v>
      </c>
      <c r="D41">
        <v>0</v>
      </c>
      <c r="E41" t="s">
        <v>1134</v>
      </c>
      <c r="F41">
        <v>2160</v>
      </c>
      <c r="H41" t="str">
        <f t="shared" si="0"/>
        <v>&lt;tr onclick=&amp;quot;myFunction('2160')&amp;quot;&gt;&lt;td&gt;icon&lt;/td&gt;&lt;td&gt;2009&lt;/td&gt;&lt;td&gt;Chéri &lt;/td&gt;&lt;td&gt;36:00&lt;/td&gt;&lt;/tr&gt;</v>
      </c>
    </row>
    <row r="42" spans="1:8" x14ac:dyDescent="0.25">
      <c r="A42" t="s">
        <v>250</v>
      </c>
      <c r="B42" t="s">
        <v>1135</v>
      </c>
      <c r="C42" t="s">
        <v>1136</v>
      </c>
      <c r="D42">
        <v>0</v>
      </c>
      <c r="E42" t="s">
        <v>1137</v>
      </c>
      <c r="F42">
        <v>2220</v>
      </c>
      <c r="H42" t="str">
        <f t="shared" si="0"/>
        <v>&lt;tr onclick=&amp;quot;myFunction('2220')&amp;quot;&gt;&lt;td&gt;icon&lt;/td&gt;&lt;td&gt;2009&lt;/td&gt;&lt;td&gt;Coco Avant Chanel &lt;/td&gt;&lt;td&gt;37:00&lt;/td&gt;&lt;/tr&gt;</v>
      </c>
    </row>
    <row r="43" spans="1:8" x14ac:dyDescent="0.25">
      <c r="A43" t="s">
        <v>250</v>
      </c>
      <c r="B43" t="s">
        <v>1138</v>
      </c>
      <c r="C43" t="s">
        <v>1139</v>
      </c>
      <c r="D43">
        <v>0</v>
      </c>
      <c r="E43" t="s">
        <v>1140</v>
      </c>
      <c r="F43">
        <v>2280</v>
      </c>
      <c r="H43" t="str">
        <f t="shared" si="0"/>
        <v>&lt;tr onclick=&amp;quot;myFunction('2280')&amp;quot;&gt;&lt;td&gt;icon&lt;/td&gt;&lt;td&gt;2009&lt;/td&gt;&lt;td&gt;Julie &amp; Julia &lt;/td&gt;&lt;td&gt;38:00&lt;/td&gt;&lt;/tr&gt;</v>
      </c>
    </row>
    <row r="44" spans="1:8" x14ac:dyDescent="0.25">
      <c r="A44" t="s">
        <v>250</v>
      </c>
      <c r="B44" t="s">
        <v>1141</v>
      </c>
      <c r="C44" t="s">
        <v>1142</v>
      </c>
      <c r="D44">
        <v>0</v>
      </c>
      <c r="E44" t="s">
        <v>1143</v>
      </c>
      <c r="F44">
        <v>2340</v>
      </c>
      <c r="H44" t="str">
        <f t="shared" si="0"/>
        <v>&lt;tr onclick=&amp;quot;myFunction('2340')&amp;quot;&gt;&lt;td&gt;icon&lt;/td&gt;&lt;td&gt;2009&lt;/td&gt;&lt;td&gt;L'Armée du crime / The Army of Crime&lt;/td&gt;&lt;td&gt;39:00&lt;/td&gt;&lt;/tr&gt;</v>
      </c>
    </row>
    <row r="45" spans="1:8" x14ac:dyDescent="0.25">
      <c r="A45" t="s">
        <v>6</v>
      </c>
      <c r="B45" t="s">
        <v>6</v>
      </c>
      <c r="C45" t="s">
        <v>6</v>
      </c>
      <c r="E45" t="s">
        <v>6</v>
      </c>
    </row>
    <row r="46" spans="1:8" x14ac:dyDescent="0.25">
      <c r="A46" t="s">
        <v>250</v>
      </c>
      <c r="B46" t="s">
        <v>1144</v>
      </c>
      <c r="C46" t="s">
        <v>1145</v>
      </c>
      <c r="D46">
        <v>0</v>
      </c>
      <c r="E46" t="s">
        <v>1146</v>
      </c>
      <c r="F46">
        <v>2400</v>
      </c>
      <c r="H46" t="str">
        <f t="shared" si="0"/>
        <v>&lt;tr onclick=&amp;quot;myFunction('2400')&amp;quot;&gt;&lt;td&gt;icon&lt;/td&gt;&lt;td&gt;2009&lt;/td&gt;&lt;td&gt;Un Prophète / A Prophet&lt;/td&gt;&lt;td&gt;40:00&lt;/td&gt;&lt;/tr&gt;</v>
      </c>
    </row>
    <row r="47" spans="1:8" x14ac:dyDescent="0.25">
      <c r="A47" t="s">
        <v>250</v>
      </c>
      <c r="B47" t="s">
        <v>1147</v>
      </c>
      <c r="C47" t="s">
        <v>1148</v>
      </c>
      <c r="D47">
        <v>0</v>
      </c>
      <c r="E47" t="s">
        <v>1149</v>
      </c>
      <c r="F47">
        <v>2460</v>
      </c>
      <c r="H47" t="str">
        <f t="shared" si="0"/>
        <v>&lt;tr onclick=&amp;quot;myFunction('2460')&amp;quot;&gt;&lt;td&gt;icon&lt;/td&gt;&lt;td&gt;2009&lt;/td&gt;&lt;td&gt;The Twilight Saga: New Moon &lt;/td&gt;&lt;td&gt;41:00&lt;/td&gt;&lt;/tr&gt;</v>
      </c>
    </row>
    <row r="48" spans="1:8" x14ac:dyDescent="0.25">
      <c r="A48" t="s">
        <v>250</v>
      </c>
      <c r="B48" t="s">
        <v>1150</v>
      </c>
      <c r="C48" t="s">
        <v>1151</v>
      </c>
      <c r="D48">
        <v>0</v>
      </c>
      <c r="E48" t="s">
        <v>1152</v>
      </c>
      <c r="F48">
        <v>2520</v>
      </c>
      <c r="H48" t="str">
        <f t="shared" si="0"/>
        <v>&lt;tr onclick=&amp;quot;myFunction('2520')&amp;quot;&gt;&lt;td&gt;icon&lt;/td&gt;&lt;td&gt;2009&lt;/td&gt;&lt;td&gt;Fantastic Mr. Fox &lt;/td&gt;&lt;td&gt;42:00&lt;/td&gt;&lt;/tr&gt;</v>
      </c>
    </row>
    <row r="49" spans="1:8" x14ac:dyDescent="0.25">
      <c r="A49" t="s">
        <v>245</v>
      </c>
      <c r="B49" t="s">
        <v>1153</v>
      </c>
      <c r="C49" t="s">
        <v>1154</v>
      </c>
      <c r="D49">
        <v>0</v>
      </c>
      <c r="E49" t="s">
        <v>1155</v>
      </c>
      <c r="F49">
        <v>2580</v>
      </c>
      <c r="H49" t="str">
        <f t="shared" si="0"/>
        <v>&lt;tr onclick=&amp;quot;myFunction('2580')&amp;quot;&gt;&lt;td&gt;icon&lt;/td&gt;&lt;td&gt;2010&lt;/td&gt;&lt;td&gt;Tamara Drewe &lt;/td&gt;&lt;td&gt;43:00&lt;/td&gt;&lt;/tr&gt;</v>
      </c>
    </row>
    <row r="50" spans="1:8" x14ac:dyDescent="0.25">
      <c r="A50" t="s">
        <v>245</v>
      </c>
      <c r="B50" t="s">
        <v>1156</v>
      </c>
      <c r="C50" t="s">
        <v>1157</v>
      </c>
      <c r="D50">
        <v>0</v>
      </c>
      <c r="E50" t="s">
        <v>1158</v>
      </c>
      <c r="F50">
        <v>2640</v>
      </c>
      <c r="H50" t="str">
        <f t="shared" si="0"/>
        <v>&lt;tr onclick=&amp;quot;myFunction('2640')&amp;quot;&gt;&lt;td&gt;icon&lt;/td&gt;&lt;td&gt;2010&lt;/td&gt;&lt;td&gt;Harry Potter and the Deathly Hallows: Part 1 &lt;/td&gt;&lt;td&gt;44:00&lt;/td&gt;&lt;/tr&gt;</v>
      </c>
    </row>
    <row r="51" spans="1:8" x14ac:dyDescent="0.25">
      <c r="A51" t="s">
        <v>245</v>
      </c>
      <c r="B51" t="s">
        <v>1159</v>
      </c>
      <c r="C51" t="s">
        <v>1160</v>
      </c>
      <c r="D51">
        <v>0</v>
      </c>
      <c r="E51" t="s">
        <v>1161</v>
      </c>
      <c r="F51">
        <v>2700</v>
      </c>
      <c r="H51" t="str">
        <f t="shared" si="0"/>
        <v>&lt;tr onclick=&amp;quot;myFunction('2700')&amp;quot;&gt;&lt;td&gt;icon&lt;/td&gt;&lt;td&gt;2010&lt;/td&gt;&lt;td&gt;The Special Relationship / La relación especial&lt;/td&gt;&lt;td&gt;45:00&lt;/td&gt;&lt;/tr&gt;</v>
      </c>
    </row>
    <row r="52" spans="1:8" x14ac:dyDescent="0.25">
      <c r="A52" t="s">
        <v>245</v>
      </c>
      <c r="B52" t="s">
        <v>1162</v>
      </c>
      <c r="C52" t="s">
        <v>1163</v>
      </c>
      <c r="D52">
        <v>0</v>
      </c>
      <c r="E52" t="s">
        <v>1164</v>
      </c>
      <c r="F52">
        <v>2760</v>
      </c>
      <c r="H52" t="str">
        <f t="shared" si="0"/>
        <v>&lt;tr onclick=&amp;quot;myFunction('2760')&amp;quot;&gt;&lt;td&gt;icon&lt;/td&gt;&lt;td&gt;2010&lt;/td&gt;&lt;td&gt;The King´s Speech &lt;/td&gt;&lt;td&gt;46:00&lt;/td&gt;&lt;/tr&gt;</v>
      </c>
    </row>
    <row r="53" spans="1:8" x14ac:dyDescent="0.25">
      <c r="A53" t="s">
        <v>245</v>
      </c>
      <c r="B53" t="s">
        <v>1165</v>
      </c>
      <c r="C53" t="s">
        <v>1166</v>
      </c>
      <c r="D53">
        <v>0</v>
      </c>
      <c r="E53" t="s">
        <v>1167</v>
      </c>
      <c r="F53">
        <v>2820</v>
      </c>
      <c r="H53" t="str">
        <f t="shared" si="0"/>
        <v>&lt;tr onclick=&amp;quot;myFunction('2820')&amp;quot;&gt;&lt;td&gt;icon&lt;/td&gt;&lt;td&gt;2010&lt;/td&gt;&lt;td&gt;The Ghost Writer &lt;/td&gt;&lt;td&gt;47:00&lt;/td&gt;&lt;/tr&gt;</v>
      </c>
    </row>
    <row r="54" spans="1:8" x14ac:dyDescent="0.25">
      <c r="A54" t="s">
        <v>236</v>
      </c>
      <c r="B54" t="s">
        <v>1168</v>
      </c>
      <c r="C54" t="s">
        <v>1169</v>
      </c>
      <c r="D54">
        <v>0</v>
      </c>
      <c r="E54" t="s">
        <v>1170</v>
      </c>
      <c r="F54">
        <v>2880</v>
      </c>
      <c r="H54" t="str">
        <f t="shared" si="0"/>
        <v>&lt;tr onclick=&amp;quot;myFunction('2880')&amp;quot;&gt;&lt;td&gt;icon&lt;/td&gt;&lt;td&gt;2011&lt;/td&gt;&lt;td&gt;Largo Winch (Tome 2) / The Burma Conspiracy &lt;/td&gt;&lt;td&gt;48:00&lt;/td&gt;&lt;/tr&gt;</v>
      </c>
    </row>
    <row r="55" spans="1:8" x14ac:dyDescent="0.25">
      <c r="A55" t="s">
        <v>236</v>
      </c>
      <c r="B55" t="s">
        <v>1171</v>
      </c>
      <c r="C55" t="s">
        <v>1172</v>
      </c>
      <c r="D55">
        <v>0</v>
      </c>
      <c r="E55" t="s">
        <v>1173</v>
      </c>
      <c r="F55">
        <v>2940</v>
      </c>
      <c r="H55" t="str">
        <f t="shared" si="0"/>
        <v>&lt;tr onclick=&amp;quot;myFunction('2940')&amp;quot;&gt;&lt;td&gt;icon&lt;/td&gt;&lt;td&gt;2011&lt;/td&gt;&lt;td&gt;The Tree of Life &lt;/td&gt;&lt;td&gt;49:00&lt;/td&gt;&lt;/tr&gt;</v>
      </c>
    </row>
    <row r="56" spans="1:8" x14ac:dyDescent="0.25">
      <c r="A56" t="s">
        <v>6</v>
      </c>
      <c r="B56" t="s">
        <v>6</v>
      </c>
      <c r="C56" t="s">
        <v>6</v>
      </c>
      <c r="E56" t="s">
        <v>6</v>
      </c>
    </row>
    <row r="57" spans="1:8" x14ac:dyDescent="0.25">
      <c r="A57" t="s">
        <v>236</v>
      </c>
      <c r="B57" t="s">
        <v>1174</v>
      </c>
      <c r="C57" t="s">
        <v>1175</v>
      </c>
      <c r="D57">
        <v>0</v>
      </c>
      <c r="E57" t="s">
        <v>1176</v>
      </c>
      <c r="F57">
        <v>3000</v>
      </c>
      <c r="H57" t="str">
        <f t="shared" si="0"/>
        <v>&lt;tr onclick=&amp;quot;myFunction('3000')&amp;quot;&gt;&lt;td&gt;icon&lt;/td&gt;&lt;td&gt;2011&lt;/td&gt;&lt;td&gt;Harry Potter and the Deathly Hallows: Part 2 &lt;/td&gt;&lt;td&gt;50:00&lt;/td&gt;&lt;/tr&gt;</v>
      </c>
    </row>
    <row r="58" spans="1:8" x14ac:dyDescent="0.25">
      <c r="A58" t="s">
        <v>236</v>
      </c>
      <c r="B58" t="s">
        <v>1177</v>
      </c>
      <c r="C58" t="s">
        <v>1178</v>
      </c>
      <c r="D58">
        <v>0</v>
      </c>
      <c r="E58" t="s">
        <v>1179</v>
      </c>
      <c r="F58">
        <v>3060</v>
      </c>
      <c r="H58" t="str">
        <f t="shared" si="0"/>
        <v>&lt;tr onclick=&amp;quot;myFunction('3060')&amp;quot;&gt;&lt;td&gt;icon&lt;/td&gt;&lt;td&gt;2011&lt;/td&gt;&lt;td&gt;La Fille du puisatier / The Well-Digger's Daughter &lt;/td&gt;&lt;td&gt;51:00&lt;/td&gt;&lt;/tr&gt;</v>
      </c>
    </row>
    <row r="59" spans="1:8" x14ac:dyDescent="0.25">
      <c r="A59" t="s">
        <v>236</v>
      </c>
      <c r="B59" t="s">
        <v>1180</v>
      </c>
      <c r="C59" t="s">
        <v>1181</v>
      </c>
      <c r="D59">
        <v>0</v>
      </c>
      <c r="E59" t="s">
        <v>1182</v>
      </c>
      <c r="F59">
        <v>3120</v>
      </c>
      <c r="H59" t="str">
        <f t="shared" si="0"/>
        <v>&lt;tr onclick=&amp;quot;myFunction('3120')&amp;quot;&gt;&lt;td&gt;icon&lt;/td&gt;&lt;td&gt;2011&lt;/td&gt;&lt;td&gt;A Better Life &lt;/td&gt;&lt;td&gt;52:00&lt;/td&gt;&lt;/tr&gt;</v>
      </c>
    </row>
    <row r="60" spans="1:8" x14ac:dyDescent="0.25">
      <c r="A60" t="s">
        <v>236</v>
      </c>
      <c r="B60" t="s">
        <v>1183</v>
      </c>
      <c r="C60" t="s">
        <v>1184</v>
      </c>
      <c r="D60">
        <v>0</v>
      </c>
      <c r="E60" t="s">
        <v>1185</v>
      </c>
      <c r="F60">
        <v>3180</v>
      </c>
      <c r="H60" t="str">
        <f t="shared" si="0"/>
        <v>&lt;tr onclick=&amp;quot;myFunction('3180')&amp;quot;&gt;&lt;td&gt;icon&lt;/td&gt;&lt;td&gt;2011&lt;/td&gt;&lt;td&gt;The Ides of March &lt;/td&gt;&lt;td&gt;53:00&lt;/td&gt;&lt;/tr&gt;</v>
      </c>
    </row>
    <row r="61" spans="1:8" x14ac:dyDescent="0.25">
      <c r="A61" t="s">
        <v>236</v>
      </c>
      <c r="B61" t="s">
        <v>1186</v>
      </c>
      <c r="C61" t="s">
        <v>1187</v>
      </c>
      <c r="D61">
        <v>0</v>
      </c>
      <c r="E61" t="s">
        <v>1188</v>
      </c>
      <c r="F61">
        <v>3240</v>
      </c>
      <c r="H61" t="str">
        <f t="shared" si="0"/>
        <v>&lt;tr onclick=&amp;quot;myFunction('3240')&amp;quot;&gt;&lt;td&gt;icon&lt;/td&gt;&lt;td&gt;2011&lt;/td&gt;&lt;td&gt;My Week with Marilyn &lt;/td&gt;&lt;td&gt;54:00&lt;/td&gt;&lt;/tr&gt;</v>
      </c>
    </row>
    <row r="62" spans="1:8" x14ac:dyDescent="0.25">
      <c r="A62" t="s">
        <v>236</v>
      </c>
      <c r="B62" t="s">
        <v>1189</v>
      </c>
      <c r="C62" t="s">
        <v>1190</v>
      </c>
      <c r="D62">
        <v>0</v>
      </c>
      <c r="E62" t="s">
        <v>1191</v>
      </c>
      <c r="F62">
        <v>3300</v>
      </c>
      <c r="H62" t="str">
        <f t="shared" si="0"/>
        <v>&lt;tr onclick=&amp;quot;myFunction('3300')&amp;quot;&gt;&lt;td&gt;icon&lt;/td&gt;&lt;td&gt;2011&lt;/td&gt;&lt;td&gt;Extremely Loud and Incredibly Close &lt;/td&gt;&lt;td&gt;55:00&lt;/td&gt;&lt;/tr&gt;</v>
      </c>
    </row>
    <row r="63" spans="1:8" x14ac:dyDescent="0.25">
      <c r="A63" t="s">
        <v>236</v>
      </c>
      <c r="B63" t="s">
        <v>1192</v>
      </c>
      <c r="C63" t="s">
        <v>1193</v>
      </c>
      <c r="D63">
        <v>0</v>
      </c>
      <c r="E63" t="s">
        <v>1194</v>
      </c>
      <c r="F63">
        <v>3360</v>
      </c>
      <c r="H63" t="str">
        <f t="shared" si="0"/>
        <v>&lt;tr onclick=&amp;quot;myFunction('3360')&amp;quot;&gt;&lt;td&gt;icon&lt;/td&gt;&lt;td&gt;2011&lt;/td&gt;&lt;td&gt;Carnage &lt;/td&gt;&lt;td&gt;56:00&lt;/td&gt;&lt;/tr&gt;</v>
      </c>
    </row>
    <row r="64" spans="1:8" x14ac:dyDescent="0.25">
      <c r="A64" t="s">
        <v>228</v>
      </c>
      <c r="B64" t="s">
        <v>1195</v>
      </c>
      <c r="C64" t="s">
        <v>1196</v>
      </c>
      <c r="D64">
        <v>0</v>
      </c>
      <c r="E64" t="s">
        <v>1197</v>
      </c>
      <c r="F64">
        <v>3420</v>
      </c>
      <c r="H64" t="str">
        <f t="shared" si="0"/>
        <v>&lt;tr onclick=&amp;quot;myFunction('3420')&amp;quot;&gt;&lt;td&gt;icon&lt;/td&gt;&lt;td&gt;2012&lt;/td&gt;&lt;td&gt;My Way / Cloclo &lt;/td&gt;&lt;td&gt;57:00&lt;/td&gt;&lt;/tr&gt;</v>
      </c>
    </row>
    <row r="65" spans="1:8" x14ac:dyDescent="0.25">
      <c r="A65" t="s">
        <v>228</v>
      </c>
      <c r="B65" t="s">
        <v>1198</v>
      </c>
      <c r="C65" t="s">
        <v>1199</v>
      </c>
      <c r="D65">
        <v>0</v>
      </c>
      <c r="E65" t="s">
        <v>1200</v>
      </c>
      <c r="F65">
        <v>3480</v>
      </c>
      <c r="H65" t="str">
        <f t="shared" si="0"/>
        <v>&lt;tr onclick=&amp;quot;myFunction('3480')&amp;quot;&gt;&lt;td&gt;icon&lt;/td&gt;&lt;td&gt;2012&lt;/td&gt;&lt;td&gt;De Rouille et d'os / Rust and Bone&lt;/td&gt;&lt;td&gt;58:00&lt;/td&gt;&lt;/tr&gt;</v>
      </c>
    </row>
    <row r="66" spans="1:8" x14ac:dyDescent="0.25">
      <c r="A66" t="s">
        <v>228</v>
      </c>
      <c r="B66" t="s">
        <v>1201</v>
      </c>
      <c r="C66" t="s">
        <v>1202</v>
      </c>
      <c r="D66">
        <v>0</v>
      </c>
      <c r="E66" t="s">
        <v>1203</v>
      </c>
      <c r="F66">
        <v>3540</v>
      </c>
      <c r="H66" t="str">
        <f t="shared" si="0"/>
        <v>&lt;tr onclick=&amp;quot;myFunction('3540')&amp;quot;&gt;&lt;td&gt;icon&lt;/td&gt;&lt;td&gt;2012&lt;/td&gt;&lt;td&gt;Argo &lt;/td&gt;&lt;td&gt;59:00&lt;/td&gt;&lt;/tr&gt;</v>
      </c>
    </row>
    <row r="67" spans="1:8" x14ac:dyDescent="0.25">
      <c r="A67" t="s">
        <v>6</v>
      </c>
      <c r="B67" t="s">
        <v>6</v>
      </c>
      <c r="C67" t="s">
        <v>6</v>
      </c>
      <c r="E67" t="s">
        <v>6</v>
      </c>
    </row>
    <row r="68" spans="1:8" x14ac:dyDescent="0.25">
      <c r="A68" t="s">
        <v>228</v>
      </c>
      <c r="B68" t="s">
        <v>1204</v>
      </c>
      <c r="C68" t="s">
        <v>1205</v>
      </c>
      <c r="D68">
        <v>1</v>
      </c>
      <c r="E68" t="s">
        <v>1027</v>
      </c>
      <c r="F68">
        <v>3600</v>
      </c>
      <c r="H68" t="str">
        <f t="shared" ref="H67:H100" si="1">+"&lt;tr onclick=&amp;quot;myFunction('"&amp;F68&amp;"')&amp;quot;&gt;&lt;td&gt;icon&lt;/td&gt;&lt;td&gt;" &amp;A68 &amp; "&lt;/td&gt;&lt;td&gt;" &amp; B68 &amp; "&lt;/td&gt;&lt;td&gt;" &amp; C68 &amp;"&lt;/td&gt;&lt;/tr&gt;"</f>
        <v>&lt;tr onclick=&amp;quot;myFunction('3600')&amp;quot;&gt;&lt;td&gt;icon&lt;/td&gt;&lt;td&gt;2012&lt;/td&gt;&lt;td&gt;Reality &lt;/td&gt;&lt;td&gt;1:00:00&lt;/td&gt;&lt;/tr&gt;</v>
      </c>
    </row>
    <row r="69" spans="1:8" x14ac:dyDescent="0.25">
      <c r="A69" t="s">
        <v>228</v>
      </c>
      <c r="B69" t="s">
        <v>1206</v>
      </c>
      <c r="C69" t="s">
        <v>1207</v>
      </c>
      <c r="D69">
        <v>1</v>
      </c>
      <c r="E69" t="s">
        <v>1030</v>
      </c>
      <c r="F69">
        <v>3660</v>
      </c>
      <c r="H69" t="str">
        <f t="shared" si="1"/>
        <v>&lt;tr onclick=&amp;quot;myFunction('3660')&amp;quot;&gt;&lt;td&gt;icon&lt;/td&gt;&lt;td&gt;2012&lt;/td&gt;&lt;td&gt;Rise of the Guardians &lt;/td&gt;&lt;td&gt;1:01:00&lt;/td&gt;&lt;/tr&gt;</v>
      </c>
    </row>
    <row r="70" spans="1:8" x14ac:dyDescent="0.25">
      <c r="A70" t="s">
        <v>228</v>
      </c>
      <c r="B70" t="s">
        <v>1208</v>
      </c>
      <c r="C70" t="s">
        <v>1209</v>
      </c>
      <c r="D70">
        <v>1</v>
      </c>
      <c r="E70" t="s">
        <v>1033</v>
      </c>
      <c r="F70">
        <v>3720</v>
      </c>
      <c r="H70" t="str">
        <f t="shared" si="1"/>
        <v>&lt;tr onclick=&amp;quot;myFunction('3720')&amp;quot;&gt;&lt;td&gt;icon&lt;/td&gt;&lt;td&gt;2012&lt;/td&gt;&lt;td&gt;Zero Dark Thirty &lt;/td&gt;&lt;td&gt;1:02:00&lt;/td&gt;&lt;/tr&gt;</v>
      </c>
    </row>
    <row r="71" spans="1:8" x14ac:dyDescent="0.25">
      <c r="A71" t="s">
        <v>228</v>
      </c>
      <c r="B71" t="s">
        <v>1210</v>
      </c>
      <c r="C71" t="s">
        <v>1211</v>
      </c>
      <c r="D71">
        <v>1</v>
      </c>
      <c r="E71" t="s">
        <v>1036</v>
      </c>
      <c r="F71">
        <v>3780</v>
      </c>
      <c r="H71" t="str">
        <f t="shared" si="1"/>
        <v>&lt;tr onclick=&amp;quot;myFunction('3780')&amp;quot;&gt;&lt;td&gt;icon&lt;/td&gt;&lt;td&gt;2012&lt;/td&gt;&lt;td&gt;Renoir &lt;/td&gt;&lt;td&gt;1:03:00&lt;/td&gt;&lt;/tr&gt;</v>
      </c>
    </row>
    <row r="72" spans="1:8" x14ac:dyDescent="0.25">
      <c r="A72" t="s">
        <v>222</v>
      </c>
      <c r="B72" t="s">
        <v>1212</v>
      </c>
      <c r="C72" t="s">
        <v>1213</v>
      </c>
      <c r="D72">
        <v>1</v>
      </c>
      <c r="E72" t="s">
        <v>1039</v>
      </c>
      <c r="F72">
        <v>3840</v>
      </c>
      <c r="H72" t="str">
        <f t="shared" si="1"/>
        <v>&lt;tr onclick=&amp;quot;myFunction('3840')&amp;quot;&gt;&lt;td&gt;icon&lt;/td&gt;&lt;td&gt;2013&lt;/td&gt;&lt;td&gt;Philomena &lt;/td&gt;&lt;td&gt;1:04:00&lt;/td&gt;&lt;/tr&gt;</v>
      </c>
    </row>
    <row r="73" spans="1:8" x14ac:dyDescent="0.25">
      <c r="A73" t="s">
        <v>222</v>
      </c>
      <c r="B73" t="s">
        <v>1214</v>
      </c>
      <c r="C73" t="s">
        <v>1215</v>
      </c>
      <c r="D73">
        <v>1</v>
      </c>
      <c r="E73" t="s">
        <v>1042</v>
      </c>
      <c r="F73">
        <v>3900</v>
      </c>
      <c r="H73" t="str">
        <f t="shared" si="1"/>
        <v>&lt;tr onclick=&amp;quot;myFunction('3900')&amp;quot;&gt;&lt;td&gt;icon&lt;/td&gt;&lt;td&gt;2013&lt;/td&gt;&lt;td&gt;Venus in Fur&lt;/td&gt;&lt;td&gt;1:05:00&lt;/td&gt;&lt;/tr&gt;</v>
      </c>
    </row>
    <row r="74" spans="1:8" x14ac:dyDescent="0.25">
      <c r="A74" t="s">
        <v>222</v>
      </c>
      <c r="B74" t="s">
        <v>1216</v>
      </c>
      <c r="C74" t="s">
        <v>1217</v>
      </c>
      <c r="D74">
        <v>1</v>
      </c>
      <c r="E74" t="s">
        <v>1045</v>
      </c>
      <c r="F74">
        <v>3960</v>
      </c>
      <c r="H74" t="str">
        <f t="shared" si="1"/>
        <v>&lt;tr onclick=&amp;quot;myFunction('3960')&amp;quot;&gt;&lt;td&gt;icon&lt;/td&gt;&lt;td&gt;2013&lt;/td&gt;&lt;td&gt;Zulu &lt;/td&gt;&lt;td&gt;1:06:00&lt;/td&gt;&lt;/tr&gt;</v>
      </c>
    </row>
    <row r="75" spans="1:8" x14ac:dyDescent="0.25">
      <c r="A75" t="s">
        <v>218</v>
      </c>
      <c r="B75" t="s">
        <v>1218</v>
      </c>
      <c r="C75" t="s">
        <v>1219</v>
      </c>
      <c r="D75">
        <v>1</v>
      </c>
      <c r="E75" t="s">
        <v>1048</v>
      </c>
      <c r="F75">
        <v>4020</v>
      </c>
      <c r="H75" t="str">
        <f t="shared" si="1"/>
        <v>&lt;tr onclick=&amp;quot;myFunction('4020')&amp;quot;&gt;&lt;td&gt;icon&lt;/td&gt;&lt;td&gt;2014&lt;/td&gt;&lt;td&gt;The Monuments Men &lt;/td&gt;&lt;td&gt;1:07:00&lt;/td&gt;&lt;/tr&gt;</v>
      </c>
    </row>
    <row r="76" spans="1:8" x14ac:dyDescent="0.25">
      <c r="A76" t="s">
        <v>218</v>
      </c>
      <c r="B76" t="s">
        <v>1220</v>
      </c>
      <c r="C76" t="s">
        <v>1221</v>
      </c>
      <c r="D76">
        <v>1</v>
      </c>
      <c r="E76" t="s">
        <v>1051</v>
      </c>
      <c r="F76">
        <v>4080</v>
      </c>
      <c r="H76" t="str">
        <f t="shared" si="1"/>
        <v>&lt;tr onclick=&amp;quot;myFunction('4080')&amp;quot;&gt;&lt;td&gt;icon&lt;/td&gt;&lt;td&gt;2014&lt;/td&gt;&lt;td&gt;The Grand Budapest Hotel &lt;/td&gt;&lt;td&gt;1:08:00&lt;/td&gt;&lt;/tr&gt;</v>
      </c>
    </row>
    <row r="77" spans="1:8" x14ac:dyDescent="0.25">
      <c r="A77" t="s">
        <v>218</v>
      </c>
      <c r="B77" t="s">
        <v>1222</v>
      </c>
      <c r="C77" t="s">
        <v>1223</v>
      </c>
      <c r="D77">
        <v>1</v>
      </c>
      <c r="E77" t="s">
        <v>1054</v>
      </c>
      <c r="F77">
        <v>4140</v>
      </c>
      <c r="H77" t="str">
        <f t="shared" si="1"/>
        <v>&lt;tr onclick=&amp;quot;myFunction('4140')&amp;quot;&gt;&lt;td&gt;icon&lt;/td&gt;&lt;td&gt;2014&lt;/td&gt;&lt;td&gt;Godzilla &lt;/td&gt;&lt;td&gt;1:09:00&lt;/td&gt;&lt;/tr&gt;</v>
      </c>
    </row>
    <row r="78" spans="1:8" x14ac:dyDescent="0.25">
      <c r="A78" t="s">
        <v>6</v>
      </c>
      <c r="B78" t="s">
        <v>6</v>
      </c>
      <c r="C78" t="s">
        <v>6</v>
      </c>
      <c r="E78" t="s">
        <v>6</v>
      </c>
    </row>
    <row r="79" spans="1:8" x14ac:dyDescent="0.25">
      <c r="A79" t="s">
        <v>218</v>
      </c>
      <c r="B79" t="s">
        <v>1224</v>
      </c>
      <c r="C79" t="s">
        <v>1225</v>
      </c>
      <c r="D79">
        <v>1</v>
      </c>
      <c r="E79" t="s">
        <v>1057</v>
      </c>
      <c r="F79">
        <v>4200</v>
      </c>
      <c r="H79" t="str">
        <f t="shared" si="1"/>
        <v>&lt;tr onclick=&amp;quot;myFunction('4200')&amp;quot;&gt;&lt;td&gt;icon&lt;/td&gt;&lt;td&gt;2014&lt;/td&gt;&lt;td&gt;The Imitation Game &lt;/td&gt;&lt;td&gt;1:10:00&lt;/td&gt;&lt;/tr&gt;</v>
      </c>
    </row>
    <row r="80" spans="1:8" x14ac:dyDescent="0.25">
      <c r="A80" t="s">
        <v>218</v>
      </c>
      <c r="B80" t="s">
        <v>1226</v>
      </c>
      <c r="C80" t="s">
        <v>1227</v>
      </c>
      <c r="D80">
        <v>1</v>
      </c>
      <c r="E80" t="s">
        <v>1060</v>
      </c>
      <c r="F80">
        <v>4260</v>
      </c>
      <c r="H80" t="str">
        <f t="shared" si="1"/>
        <v>&lt;tr onclick=&amp;quot;myFunction('4260')&amp;quot;&gt;&lt;td&gt;icon&lt;/td&gt;&lt;td&gt;2014&lt;/td&gt;&lt;td&gt;Unbroken &lt;/td&gt;&lt;td&gt;1:11:00&lt;/td&gt;&lt;/tr&gt;</v>
      </c>
    </row>
    <row r="81" spans="1:8" x14ac:dyDescent="0.25">
      <c r="A81" t="s">
        <v>218</v>
      </c>
      <c r="B81" t="s">
        <v>1228</v>
      </c>
      <c r="C81" t="s">
        <v>1229</v>
      </c>
      <c r="D81">
        <v>1</v>
      </c>
      <c r="E81" t="s">
        <v>1063</v>
      </c>
      <c r="F81">
        <v>4320</v>
      </c>
      <c r="H81" t="str">
        <f t="shared" si="1"/>
        <v>&lt;tr onclick=&amp;quot;myFunction('4320')&amp;quot;&gt;&lt;td&gt;icon&lt;/td&gt;&lt;td&gt;2014&lt;/td&gt;&lt;td&gt;Suite Française &lt;/td&gt;&lt;td&gt;1:12:00&lt;/td&gt;&lt;/tr&gt;</v>
      </c>
    </row>
    <row r="82" spans="1:8" x14ac:dyDescent="0.25">
      <c r="A82" t="s">
        <v>213</v>
      </c>
      <c r="B82" t="s">
        <v>214</v>
      </c>
      <c r="C82" t="s">
        <v>1230</v>
      </c>
      <c r="D82">
        <v>1</v>
      </c>
      <c r="E82" t="s">
        <v>1066</v>
      </c>
      <c r="F82">
        <v>4380</v>
      </c>
      <c r="H82" t="str">
        <f t="shared" si="1"/>
        <v>&lt;tr onclick=&amp;quot;myFunction('4380')&amp;quot;&gt;&lt;td&gt;icon&lt;/td&gt;&lt;td&gt;2015&lt;/td&gt;&lt;td&gt;The Danish Girl&lt;/td&gt;&lt;td&gt;1:13:00&lt;/td&gt;&lt;/tr&gt;</v>
      </c>
    </row>
    <row r="83" spans="1:8" x14ac:dyDescent="0.25">
      <c r="A83" t="s">
        <v>213</v>
      </c>
      <c r="B83" t="s">
        <v>1231</v>
      </c>
      <c r="C83" t="s">
        <v>1232</v>
      </c>
      <c r="D83">
        <v>1</v>
      </c>
      <c r="E83" t="s">
        <v>1069</v>
      </c>
      <c r="F83">
        <v>4440</v>
      </c>
      <c r="H83" t="str">
        <f t="shared" si="1"/>
        <v>&lt;tr onclick=&amp;quot;myFunction('4440')&amp;quot;&gt;&lt;td&gt;icon&lt;/td&gt;&lt;td&gt;2015&lt;/td&gt;&lt;td&gt;Every Thing Will Be Fine &lt;/td&gt;&lt;td&gt;1:14:00&lt;/td&gt;&lt;/tr&gt;</v>
      </c>
    </row>
    <row r="84" spans="1:8" x14ac:dyDescent="0.25">
      <c r="A84" t="s">
        <v>213</v>
      </c>
      <c r="B84" t="s">
        <v>1233</v>
      </c>
      <c r="C84" t="s">
        <v>1234</v>
      </c>
      <c r="D84">
        <v>1</v>
      </c>
      <c r="E84" t="s">
        <v>1072</v>
      </c>
      <c r="F84">
        <v>4500</v>
      </c>
      <c r="H84" t="str">
        <f t="shared" si="1"/>
        <v>&lt;tr onclick=&amp;quot;myFunction('4500')&amp;quot;&gt;&lt;td&gt;icon&lt;/td&gt;&lt;td&gt;2015&lt;/td&gt;&lt;td&gt;Tale of Tales &lt;/td&gt;&lt;td&gt;1:15:00&lt;/td&gt;&lt;/tr&gt;</v>
      </c>
    </row>
    <row r="85" spans="1:8" x14ac:dyDescent="0.25">
      <c r="A85" t="s">
        <v>206</v>
      </c>
      <c r="B85" t="s">
        <v>1235</v>
      </c>
      <c r="C85" t="s">
        <v>1236</v>
      </c>
      <c r="D85">
        <v>1</v>
      </c>
      <c r="E85" t="s">
        <v>1075</v>
      </c>
      <c r="F85">
        <v>4560</v>
      </c>
      <c r="H85" t="str">
        <f t="shared" si="1"/>
        <v>&lt;tr onclick=&amp;quot;myFunction('4560')&amp;quot;&gt;&lt;td&gt;icon&lt;/td&gt;&lt;td&gt;2016&lt;/td&gt;&lt;td&gt;L'Odyssée / The Odyssey &lt;/td&gt;&lt;td&gt;1:16:00&lt;/td&gt;&lt;/tr&gt;</v>
      </c>
    </row>
    <row r="86" spans="1:8" x14ac:dyDescent="0.25">
      <c r="A86" t="s">
        <v>206</v>
      </c>
      <c r="B86" t="s">
        <v>1237</v>
      </c>
      <c r="C86" t="s">
        <v>1238</v>
      </c>
      <c r="D86">
        <v>1</v>
      </c>
      <c r="E86" t="s">
        <v>1078</v>
      </c>
      <c r="F86">
        <v>4620</v>
      </c>
      <c r="H86" t="str">
        <f t="shared" si="1"/>
        <v>&lt;tr onclick=&amp;quot;myFunction('4620')&amp;quot;&gt;&lt;td&gt;icon&lt;/td&gt;&lt;td&gt;2016&lt;/td&gt;&lt;td&gt;American Pastoral &lt;/td&gt;&lt;td&gt;1:17:00&lt;/td&gt;&lt;/tr&gt;</v>
      </c>
    </row>
    <row r="87" spans="1:8" x14ac:dyDescent="0.25">
      <c r="A87" t="s">
        <v>206</v>
      </c>
      <c r="B87" t="s">
        <v>669</v>
      </c>
      <c r="C87" t="s">
        <v>1239</v>
      </c>
      <c r="D87">
        <v>1</v>
      </c>
      <c r="E87" t="s">
        <v>1081</v>
      </c>
      <c r="F87">
        <v>4680</v>
      </c>
      <c r="H87" t="str">
        <f t="shared" si="1"/>
        <v>&lt;tr onclick=&amp;quot;myFunction('4680')&amp;quot;&gt;&lt;td&gt;icon&lt;/td&gt;&lt;td&gt;2016&lt;/td&gt;&lt;td&gt;Marseille&lt;/td&gt;&lt;td&gt;1:18:00&lt;/td&gt;&lt;/tr&gt;</v>
      </c>
    </row>
    <row r="88" spans="1:8" x14ac:dyDescent="0.25">
      <c r="A88" t="s">
        <v>206</v>
      </c>
      <c r="B88" t="s">
        <v>1240</v>
      </c>
      <c r="C88" t="s">
        <v>1241</v>
      </c>
      <c r="D88">
        <v>1</v>
      </c>
      <c r="E88" t="s">
        <v>1083</v>
      </c>
      <c r="F88">
        <v>4740</v>
      </c>
      <c r="H88" t="str">
        <f t="shared" si="1"/>
        <v>&lt;tr onclick=&amp;quot;myFunction('4740')&amp;quot;&gt;&lt;td&gt;icon&lt;/td&gt;&lt;td&gt;2016&lt;/td&gt;&lt;td&gt;The Light Between Oceans &lt;/td&gt;&lt;td&gt;1:19:00&lt;/td&gt;&lt;/tr&gt;</v>
      </c>
    </row>
    <row r="89" spans="1:8" x14ac:dyDescent="0.25">
      <c r="A89" t="s">
        <v>6</v>
      </c>
      <c r="B89" t="s">
        <v>6</v>
      </c>
      <c r="C89" t="s">
        <v>6</v>
      </c>
      <c r="E89" t="s">
        <v>6</v>
      </c>
    </row>
    <row r="90" spans="1:8" x14ac:dyDescent="0.25">
      <c r="A90" t="s">
        <v>206</v>
      </c>
      <c r="B90" t="s">
        <v>1242</v>
      </c>
      <c r="C90" t="s">
        <v>1243</v>
      </c>
      <c r="D90">
        <v>1</v>
      </c>
      <c r="E90" t="s">
        <v>1086</v>
      </c>
      <c r="F90">
        <v>4800</v>
      </c>
      <c r="H90" t="str">
        <f t="shared" si="1"/>
        <v>&lt;tr onclick=&amp;quot;myFunction('4800')&amp;quot;&gt;&lt;td&gt;icon&lt;/td&gt;&lt;td&gt;2016&lt;/td&gt;&lt;td&gt;The Secret Life of Pets &lt;/td&gt;&lt;td&gt;1:20:00&lt;/td&gt;&lt;/tr&gt;</v>
      </c>
    </row>
    <row r="91" spans="1:8" x14ac:dyDescent="0.25">
      <c r="A91" t="s">
        <v>206</v>
      </c>
      <c r="B91" t="s">
        <v>1244</v>
      </c>
      <c r="C91" t="s">
        <v>1245</v>
      </c>
      <c r="D91">
        <v>1</v>
      </c>
      <c r="E91" t="s">
        <v>1089</v>
      </c>
      <c r="F91">
        <v>4860</v>
      </c>
      <c r="H91" t="str">
        <f t="shared" si="1"/>
        <v>&lt;tr onclick=&amp;quot;myFunction('4860')&amp;quot;&gt;&lt;td&gt;icon&lt;/td&gt;&lt;td&gt;2016&lt;/td&gt;&lt;td&gt;Florence Foster Jenkins &lt;/td&gt;&lt;td&gt;1:21:00&lt;/td&gt;&lt;/tr&gt;</v>
      </c>
    </row>
    <row r="92" spans="1:8" x14ac:dyDescent="0.25">
      <c r="A92" t="s">
        <v>206</v>
      </c>
      <c r="B92" t="s">
        <v>1246</v>
      </c>
      <c r="C92" t="s">
        <v>1247</v>
      </c>
      <c r="D92">
        <v>1</v>
      </c>
      <c r="E92" t="s">
        <v>1092</v>
      </c>
      <c r="F92">
        <v>4920</v>
      </c>
      <c r="H92" t="str">
        <f t="shared" si="1"/>
        <v>&lt;tr onclick=&amp;quot;myFunction('4920')&amp;quot;&gt;&lt;td&gt;icon&lt;/td&gt;&lt;td&gt;2016&lt;/td&gt;&lt;td&gt;Alone in Berlin &lt;/td&gt;&lt;td&gt;1:22:00&lt;/td&gt;&lt;/tr&gt;</v>
      </c>
    </row>
    <row r="93" spans="1:8" x14ac:dyDescent="0.25">
      <c r="A93" t="s">
        <v>206</v>
      </c>
      <c r="B93" t="s">
        <v>1248</v>
      </c>
      <c r="C93" t="s">
        <v>1249</v>
      </c>
      <c r="D93">
        <v>1</v>
      </c>
      <c r="E93" t="s">
        <v>1095</v>
      </c>
      <c r="F93">
        <v>4980</v>
      </c>
      <c r="H93" t="str">
        <f t="shared" si="1"/>
        <v>&lt;tr onclick=&amp;quot;myFunction('4980')&amp;quot;&gt;&lt;td&gt;icon&lt;/td&gt;&lt;td&gt;2016&lt;/td&gt;&lt;td&gt;Réparer les vivants / Heal the Living&lt;/td&gt;&lt;td&gt;1:23:00&lt;/td&gt;&lt;/tr&gt;</v>
      </c>
    </row>
    <row r="94" spans="1:8" x14ac:dyDescent="0.25">
      <c r="A94" t="s">
        <v>202</v>
      </c>
      <c r="B94" t="s">
        <v>1250</v>
      </c>
      <c r="C94" t="s">
        <v>1251</v>
      </c>
      <c r="D94">
        <v>1</v>
      </c>
      <c r="E94" t="s">
        <v>1098</v>
      </c>
      <c r="F94">
        <v>5040</v>
      </c>
      <c r="H94" t="str">
        <f t="shared" si="1"/>
        <v>&lt;tr onclick=&amp;quot;myFunction('5040')&amp;quot;&gt;&lt;td&gt;icon&lt;/td&gt;&lt;td&gt;2017&lt;/td&gt;&lt;td&gt;D'après une histoire vraie / Based on a True Story &lt;/td&gt;&lt;td&gt;1:24:00&lt;/td&gt;&lt;/tr&gt;</v>
      </c>
    </row>
    <row r="95" spans="1:8" x14ac:dyDescent="0.25">
      <c r="A95" t="s">
        <v>202</v>
      </c>
      <c r="B95" t="s">
        <v>1252</v>
      </c>
      <c r="C95" t="s">
        <v>1253</v>
      </c>
      <c r="D95">
        <v>1</v>
      </c>
      <c r="E95" t="s">
        <v>1101</v>
      </c>
      <c r="F95">
        <v>5100</v>
      </c>
      <c r="H95" t="str">
        <f t="shared" si="1"/>
        <v>&lt;tr onclick=&amp;quot;myFunction('5100')&amp;quot;&gt;&lt;td&gt;icon&lt;/td&gt;&lt;td&gt;2017&lt;/td&gt;&lt;td&gt;Suburbicon &lt;/td&gt;&lt;td&gt;1:25:00&lt;/td&gt;&lt;/tr&gt;</v>
      </c>
    </row>
    <row r="96" spans="1:8" x14ac:dyDescent="0.25">
      <c r="A96" t="s">
        <v>202</v>
      </c>
      <c r="B96" t="s">
        <v>1254</v>
      </c>
      <c r="C96" t="s">
        <v>1255</v>
      </c>
      <c r="D96">
        <v>1</v>
      </c>
      <c r="E96" t="s">
        <v>1104</v>
      </c>
      <c r="F96">
        <v>5160</v>
      </c>
      <c r="H96" t="str">
        <f t="shared" si="1"/>
        <v>&lt;tr onclick=&amp;quot;myFunction('5160')&amp;quot;&gt;&lt;td&gt;icon&lt;/td&gt;&lt;td&gt;2017&lt;/td&gt;&lt;td&gt;Valerian and the City of a Thousand Planets &lt;/td&gt;&lt;td&gt;1:26:00&lt;/td&gt;&lt;/tr&gt;</v>
      </c>
    </row>
    <row r="97" spans="1:8" x14ac:dyDescent="0.25">
      <c r="A97" t="s">
        <v>202</v>
      </c>
      <c r="B97" t="s">
        <v>1256</v>
      </c>
      <c r="C97" t="s">
        <v>1257</v>
      </c>
      <c r="D97">
        <v>1</v>
      </c>
      <c r="E97" t="s">
        <v>1107</v>
      </c>
      <c r="F97">
        <v>5220</v>
      </c>
      <c r="H97" t="str">
        <f t="shared" si="1"/>
        <v>&lt;tr onclick=&amp;quot;myFunction('5220')&amp;quot;&gt;&lt;td&gt;icon&lt;/td&gt;&lt;td&gt;2017&lt;/td&gt;&lt;td&gt;The Shape of Water &lt;/td&gt;&lt;td&gt;1:27:00&lt;/td&gt;&lt;/tr&gt;</v>
      </c>
    </row>
    <row r="98" spans="1:8" x14ac:dyDescent="0.25">
      <c r="A98" t="s">
        <v>198</v>
      </c>
      <c r="B98" t="s">
        <v>200</v>
      </c>
      <c r="C98" t="s">
        <v>1258</v>
      </c>
      <c r="D98">
        <v>1</v>
      </c>
      <c r="E98" t="s">
        <v>1110</v>
      </c>
      <c r="F98">
        <v>5280</v>
      </c>
      <c r="H98" t="str">
        <f t="shared" si="1"/>
        <v>&lt;tr onclick=&amp;quot;myFunction('5280')&amp;quot;&gt;&lt;td&gt;icon&lt;/td&gt;&lt;td&gt;2018&lt;/td&gt;&lt;td&gt;The Sisters Brothers&lt;/td&gt;&lt;td&gt;1:28:00&lt;/td&gt;&lt;/tr&gt;</v>
      </c>
    </row>
    <row r="99" spans="1:8" x14ac:dyDescent="0.25">
      <c r="A99" t="s">
        <v>198</v>
      </c>
      <c r="B99" t="s">
        <v>201</v>
      </c>
      <c r="C99" t="s">
        <v>1259</v>
      </c>
      <c r="D99">
        <v>1</v>
      </c>
      <c r="E99" t="s">
        <v>1113</v>
      </c>
      <c r="F99">
        <v>5340</v>
      </c>
      <c r="H99" t="str">
        <f t="shared" si="1"/>
        <v>&lt;tr onclick=&amp;quot;myFunction('5340')&amp;quot;&gt;&lt;td&gt;icon&lt;/td&gt;&lt;td&gt;2018&lt;/td&gt;&lt;td&gt;Operation Finale&lt;/td&gt;&lt;td&gt;1:29:00&lt;/td&gt;&lt;/tr&gt;</v>
      </c>
    </row>
    <row r="100" spans="1:8" x14ac:dyDescent="0.25">
      <c r="A100" t="s">
        <v>198</v>
      </c>
      <c r="B100" t="s">
        <v>1260</v>
      </c>
      <c r="C100" t="s">
        <v>1261</v>
      </c>
      <c r="D100">
        <v>1</v>
      </c>
      <c r="E100" t="s">
        <v>1116</v>
      </c>
      <c r="F100">
        <v>5400</v>
      </c>
      <c r="H100" t="str">
        <f t="shared" si="1"/>
        <v>&lt;tr onclick=&amp;quot;myFunction('5400')&amp;quot;&gt;&lt;td&gt;icon&lt;/td&gt;&lt;td&gt;2018&lt;/td&gt;&lt;td&gt;Isle of Dogs&lt;/td&gt;&lt;td&gt;1:30:00&lt;/td&gt;&lt;/tr&gt;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IMDB Liste</vt:lpstr>
      <vt:lpstr>Sheet5</vt:lpstr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Horn</dc:creator>
  <cp:lastModifiedBy>Alexander Horn</cp:lastModifiedBy>
  <dcterms:created xsi:type="dcterms:W3CDTF">2020-05-03T23:08:47Z</dcterms:created>
  <dcterms:modified xsi:type="dcterms:W3CDTF">2020-05-04T06:50:06Z</dcterms:modified>
</cp:coreProperties>
</file>